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Weekly Envelopes" sheetId="2" state="visible" r:id="rId4"/>
    <sheet name="Debt &amp; EF Plan" sheetId="3" state="visible" r:id="rId5"/>
    <sheet name="Actuals" sheetId="4" state="visible" r:id="rId6"/>
    <sheet name="Subscriptions" sheetId="5" state="visible" r:id="rId7"/>
    <sheet name="Rules &amp; Leg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<sst xmlns="http://schemas.openxmlformats.org/spreadsheetml/2006/main" count="614" uniqueCount="424">
  <si>
    <t xml:space="preserve">Household Budget — October 2026 rebuild</t>
  </si>
  <si>
    <t xml:space="preserve">Built from Jan 1–Oct 13, 2026 statements: Bills (…3923), Checking (…4570), Emergency Fund/SPAXX (…1702). Blue = input you can change; black = formula. Targets are proposals — edit column F.</t>
  </si>
  <si>
    <t xml:space="preserve">INCOME INPUTS (take-home, all three accounts combined)</t>
  </si>
  <si>
    <t xml:space="preserve">Diogo net per paycheck</t>
  </si>
  <si>
    <t xml:space="preserve">Sep 2026 deposits: $4,832.88 (Bills) + $2,899.72 (Checking) + $1,933.15 (SPAXX).</t>
  </si>
  <si>
    <t xml:space="preserve">Diogo paychecks per year</t>
  </si>
  <si>
    <t xml:space="preserve">Semi-monthly (14th/15th &amp; 29th/30th pattern in statements).</t>
  </si>
  <si>
    <t xml:space="preserve">Allison net per week</t>
  </si>
  <si>
    <t xml:space="preserve">Regular weeks Sep 2026: $796.33 + $477.80 + $318.53. Oct 7 deposit was $1,638.12 (slightly higher) — using the conservative figure.</t>
  </si>
  <si>
    <t xml:space="preserve">Allison pay weeks per year</t>
  </si>
  <si>
    <t xml:space="preserve">Weekly pay → 4 months/yr have 5 paychecks; treat the 5th paycheck as bonus money (see Rules).</t>
  </si>
  <si>
    <t xml:space="preserve">Monthly take-home (run-rate)</t>
  </si>
  <si>
    <t xml:space="preserve">Excludes bonus, one-off checks and interest. Config shows household gross $504k.</t>
  </si>
  <si>
    <t xml:space="preserve">Line</t>
  </si>
  <si>
    <t xml:space="preserve">Account</t>
  </si>
  <si>
    <t xml:space="preserve">Type</t>
  </si>
  <si>
    <t xml:space="preserve">Q3 avg /mo (actual)</t>
  </si>
  <si>
    <t xml:space="preserve">Jan–Sep avg /mo (actual)</t>
  </si>
  <si>
    <t xml:space="preserve">TARGET /mo</t>
  </si>
  <si>
    <t xml:space="preserve">Δ vs Q3</t>
  </si>
  <si>
    <t xml:space="preserve">Note</t>
  </si>
  <si>
    <t xml:space="preserve">BILLS ACCOUNT — fixed obligations on autopay</t>
  </si>
  <si>
    <t xml:space="preserve">Mortgage (NewRez)</t>
  </si>
  <si>
    <t xml:space="preserve">Bills</t>
  </si>
  <si>
    <t xml:space="preserve">Fixed</t>
  </si>
  <si>
    <t xml:space="preserve">Fixed. Escrow status unknown — confirm whether property tax/insurance are inside this payment.</t>
  </si>
  <si>
    <t xml:space="preserve">Volvo loan (Metro CU)</t>
  </si>
  <si>
    <t xml:space="preserve">5.49% per your debt note. Fixed.</t>
  </si>
  <si>
    <t xml:space="preserve">Audi loan (Audi Financial)</t>
  </si>
  <si>
    <t xml:space="preserve">5.25% per your debt note. Fixed.</t>
  </si>
  <si>
    <t xml:space="preserve">Synchrony 0% AC loan (HVAC repair)</t>
  </si>
  <si>
    <t xml:space="preserve">0% for the loan term. ~$9.2k left per your debt note (that note's balance may be older) ≈ 27 payments → ends ~Jan-29. That $342 is freed then (modeled on the Debt &amp; EF Plan sheet).</t>
  </si>
  <si>
    <t xml:space="preserve">HELOC — Holyoke CU (10-yr principal+interest, first draw)</t>
  </si>
  <si>
    <t xml:space="preserve">~$1,100/mo, fully amortizing over 10 years (per you; repriced 3.5% → 7% at the account anniversary). Fixed — cannot be trimmed, so it is not a lever.</t>
  </si>
  <si>
    <t xml:space="preserve">Capital One + TD Retail + OnePay/Sync installment plans</t>
  </si>
  <si>
    <t xml:space="preserve">Capital One ~$350, TD ~$190, OnePay/Sync ~$160 (irregular). Confirm each is a 0% plan and when each ends.</t>
  </si>
  <si>
    <t xml:space="preserve">Wells Fargo 0% plumbing loan</t>
  </si>
  <si>
    <t xml:space="preserve">Only ONE payment visible (9/22, $450). Assumed monthly until you tell me otherwise — if it was a one-time payment, the savings engine is $450 higher.</t>
  </si>
  <si>
    <t xml:space="preserve">GEICO auto</t>
  </si>
  <si>
    <t xml:space="preserve">~$9.8k/yr. Get 3 competing quotes before renewal.</t>
  </si>
  <si>
    <t xml:space="preserve">MassMutual life</t>
  </si>
  <si>
    <t xml:space="preserve">Annual insurance premium sinking (Lincoln National $1,116, Apr)</t>
  </si>
  <si>
    <t xml:space="preserve">Sinking</t>
  </si>
  <si>
    <t xml:space="preserve">One $1,115.93 debit on 4/20 (retry payment). $1,116 ÷ 12.</t>
  </si>
  <si>
    <t xml:space="preserve">Heating oil (Petro)</t>
  </si>
  <si>
    <t xml:space="preserve">Petro ran $614/mo Jan–Jun, $1,856 in Jul, $949 in Aug/Sep. The AC loan is the Synchrony line above, so this is oil/service only (~$11k/yr at $949). What changed in Jul–Sep? Ask Petro to reconcile the budget plan.</t>
  </si>
  <si>
    <t xml:space="preserve">Electric (Eversource)</t>
  </si>
  <si>
    <t xml:space="preserve">Seasonal ($134–$423).</t>
  </si>
  <si>
    <t xml:space="preserve">Water + trash (Sudbury Water, Win Waste)</t>
  </si>
  <si>
    <t xml:space="preserve">Quarterly bills; Oct billed $354 + $204.</t>
  </si>
  <si>
    <t xml:space="preserve">Verizon wireless + Verizon recurring</t>
  </si>
  <si>
    <t xml:space="preserve">Wireless ~$257 (down from $311) + $90 recurring on checking. Audit lines/plan.</t>
  </si>
  <si>
    <t xml:space="preserve">SiriusXM + WGBH + E-ZPass</t>
  </si>
  <si>
    <t xml:space="preserve">SiriusXM ($72.97) is staying. No change vs. Q3.</t>
  </si>
  <si>
    <t xml:space="preserve">Landscape, pest/tick, pet waste (Lynch, F&amp;W, Ohdeer, MetroWest)</t>
  </si>
  <si>
    <t xml:space="preserve">Variable</t>
  </si>
  <si>
    <t xml:space="preserve">Lynch is lumpy: $1,275 (Mar) + $1,792 (Sep). Averaged.</t>
  </si>
  <si>
    <t xml:space="preserve">Bills account — monthly funding needed</t>
  </si>
  <si>
    <t xml:space="preserve">CHECKING — everyday spending (debit card only; no card charges)</t>
  </si>
  <si>
    <t xml:space="preserve">Groceries (Market Basket, Roche Bros, etc.)</t>
  </si>
  <si>
    <t xml:space="preserve">Checking</t>
  </si>
  <si>
    <t xml:space="preserve">Debit-card groceries jumped from ~$220/mo (Jan–Apr) to ~$1,130/mo (May–Sep) — spend moved from cards to debit in May. True run-rate is ~$1,050. ≈ $242/week.</t>
  </si>
  <si>
    <t xml:space="preserve">Dining out + coffee/treats</t>
  </si>
  <si>
    <t xml:space="preserve">Joy</t>
  </si>
  <si>
    <t xml:space="preserve">Protected. Q3 includes beach-week food. Dining + takeout together = $1,050/mo ($242/wk) vs $1,138 in Q3.</t>
  </si>
  <si>
    <t xml:space="preserve">Takeout orders (DoorDash, Grubhub)</t>
  </si>
  <si>
    <t xml:space="preserve">Family takeout — protected, essentially held at Q3. Only lever: pickup instead of delivery when the fee/tip is the difference.</t>
  </si>
  <si>
    <t xml:space="preserve">Cleaning help ($160/wk checks) + Venmo</t>
  </si>
  <si>
    <t xml:space="preserve">$160 × 52 ÷ 12 = $693/mo; Q3 checks averaged $698. Venmo ~$65/mo.</t>
  </si>
  <si>
    <t xml:space="preserve">Cleaning/laundry (FreshNClean, Galicia)</t>
  </si>
  <si>
    <t xml:space="preserve">Gas (fuel stations)</t>
  </si>
  <si>
    <t xml:space="preserve">Q3 $334/mo ≈ $77/wk.</t>
  </si>
  <si>
    <t xml:space="preserve">Auto upkeep, parking, tolls, RMV (Sudbury Automotive, Audi service)</t>
  </si>
  <si>
    <t xml:space="preserve">Lumpy — monthly envelope, not weekly.</t>
  </si>
  <si>
    <t xml:space="preserve">Home improvement/garden (Lowe's, Home Depot, Mahoney's, Aubuchon)</t>
  </si>
  <si>
    <t xml:space="preserve">Spiked May/Jun ($1.5k/$1.4k) and Sep ($785). Plan projects, then cap.</t>
  </si>
  <si>
    <t xml:space="preserve">Thoreau Club</t>
  </si>
  <si>
    <t xml:space="preserve">Protected. Largest single discretionary line ($5,976/yr) — decide yearly on cost-per-visit, not monthly.</t>
  </si>
  <si>
    <t xml:space="preserve">Kids activities/lessons (AMM Martial Arts, YMCA, music, Paddle Boston)</t>
  </si>
  <si>
    <t xml:space="preserve">Protected.</t>
  </si>
  <si>
    <t xml:space="preserve">Kids allowance (Greenlight)</t>
  </si>
  <si>
    <t xml:space="preserve">Move to a fixed weekly allowance instead of ad-hoc $20 reloads.</t>
  </si>
  <si>
    <t xml:space="preserve">Kids digital: Apple.com/bill + Nintendo/PlayStation</t>
  </si>
  <si>
    <t xml:space="preserve">Biggest overrun vs. trend: $870/mo in Q3 vs ~$280 in H1 (Aug: $1,331). Check Apple purchase history; turn on Ask to Buy; fund with prepaid gift cards.</t>
  </si>
  <si>
    <t xml:space="preserve">Kids STEM/craft boxes (CrunchLabs, Raddish)</t>
  </si>
  <si>
    <t xml:space="preserve">CrunchLabs charges rose $35 → $115 → $130. Pick one.</t>
  </si>
  <si>
    <t xml:space="preserve">Entertainment/hobbies/cash (AMC, Fandango, guitar, ATM)</t>
  </si>
  <si>
    <t xml:space="preserve">Amazon (retail orders)</t>
  </si>
  <si>
    <t xml:space="preserve">15–38 orders/month (June: 38 orders, $2,070). Weekly batched order + 48-hour wishlist.</t>
  </si>
  <si>
    <t xml:space="preserve">Clothing/shoes</t>
  </si>
  <si>
    <t xml:space="preserve">Personal care (salon, barber)</t>
  </si>
  <si>
    <t xml:space="preserve">Health/pharmacy/vet</t>
  </si>
  <si>
    <t xml:space="preserve">Streaming/audio/video subscriptions</t>
  </si>
  <si>
    <t xml:space="preserve">After audit — see Subscriptions.</t>
  </si>
  <si>
    <t xml:space="preserve">News/info subscriptions</t>
  </si>
  <si>
    <t xml:space="preserve">Tools/software/professional (GitHub, Claude, Whoop, Ring, Calendly…)</t>
  </si>
  <si>
    <t xml:space="preserve">Annual items amortized.</t>
  </si>
  <si>
    <t xml:space="preserve">Donations/advocacy</t>
  </si>
  <si>
    <t xml:space="preserve">Protected. ProPublica $20.70/mo + periodic gifts.</t>
  </si>
  <si>
    <t xml:space="preserve">Fees/taxes/professional</t>
  </si>
  <si>
    <t xml:space="preserve">Misc/unclassified buffer</t>
  </si>
  <si>
    <t xml:space="preserve">Small items I could not classify.</t>
  </si>
  <si>
    <t xml:space="preserve">Checking account — monthly funding needed</t>
  </si>
  <si>
    <t xml:space="preserve">SAVINGS ENGINE — what is left after Bills + Checking (SPAXX / lifestyle account)</t>
  </si>
  <si>
    <t xml:space="preserve">Monthly take-home</t>
  </si>
  <si>
    <t xml:space="preserve">less Bills account</t>
  </si>
  <si>
    <t xml:space="preserve">less Checking account</t>
  </si>
  <si>
    <t xml:space="preserve">Available for savings engine (take-home less Bills less Checking)</t>
  </si>
  <si>
    <t xml:space="preserve">Compare: SPAXX currently receives ~$5.3k/mo but was drained ~$10k in Sep to cover Bills/Checking shortfalls.</t>
  </si>
  <si>
    <t xml:space="preserve">Sinking funds (keep OUT of the emergency-fund count)</t>
  </si>
  <si>
    <t xml:space="preserve">Travel &amp; experiences (trips, lodging, rentals)</t>
  </si>
  <si>
    <t xml:space="preserve">SPAXX/Lifestyle</t>
  </si>
  <si>
    <t xml:space="preserve">Q3 debit-only travel ≈ $200/mo; lodging/airfare is mostly invisible here (likely on cards). $500/mo = $6k/yr placeholder — calibrate with card statements.</t>
  </si>
  <si>
    <t xml:space="preserve">Gifts, holidays, birthdays</t>
  </si>
  <si>
    <t xml:space="preserve">Placeholder $3k/yr.</t>
  </si>
  <si>
    <t xml:space="preserve">Car/home repair reserve</t>
  </si>
  <si>
    <t xml:space="preserve">Placeholder $2.4k/yr — stops surprises from landing on a card.</t>
  </si>
  <si>
    <t xml:space="preserve">Patriots season tickets (due Feb) — see inputs below</t>
  </si>
  <si>
    <t xml:space="preserve">Earmarked acct</t>
  </si>
  <si>
    <t xml:space="preserve">Runs Nov–Feb only. 2025 resale proceeds were ~$5.2k (your Patriots note), so this largely round-trips; any resale cash that lands reduces the monthly need.</t>
  </si>
  <si>
    <t xml:space="preserve">Sinking funds subtotal (Nov–Feb)</t>
  </si>
  <si>
    <t xml:space="preserve">Card paydown — Phase 1 (Nov–Feb)</t>
  </si>
  <si>
    <t xml:space="preserve">Everything left goes to JetBlue (29.74%) first, then Fidelity (17.49%). No new investing and no EF top-ups until the cards are gone (your Phase-1 rule).</t>
  </si>
  <si>
    <t xml:space="preserve">Card paydown / EF — Phase 2 (Mar onward, Patriots done)</t>
  </si>
  <si>
    <t xml:space="preserve">PATRIOTS INPUTS</t>
  </si>
  <si>
    <t xml:space="preserve">Season ticket cost</t>
  </si>
  <si>
    <t xml:space="preserve">Config: ~$5k due February (exact date marked CHECK). 2025 cost was $4,935.</t>
  </si>
  <si>
    <t xml:space="preserve">Already held in earmarked account</t>
  </si>
  <si>
    <t xml:space="preserve">Config, as of 9/27.</t>
  </si>
  <si>
    <t xml:space="preserve">Expected resale proceeds before payment</t>
  </si>
  <si>
    <t xml:space="preserve">Conservative default $0; set higher if you expect resale cash to land first.</t>
  </si>
  <si>
    <t xml:space="preserve">Months to fund (Nov–Feb)</t>
  </si>
  <si>
    <t xml:space="preserve">PAYCHECK SPLIT — set the three accounts so the budget works by construction</t>
  </si>
  <si>
    <t xml:space="preserve">PROPOSED split</t>
  </si>
  <si>
    <t xml:space="preserve">Needed /mo</t>
  </si>
  <si>
    <t xml:space="preserve">Diogo /paycheck</t>
  </si>
  <si>
    <t xml:space="preserve">Allison /week</t>
  </si>
  <si>
    <t xml:space="preserve">Allison's whole paycheck funds Bills + Checking; Diogo's SPAXX deposit is the savings engine. Checking stays at Diogo's current $2,899.72 per paycheck.</t>
  </si>
  <si>
    <t xml:space="preserve">SPAXX (savings engine)</t>
  </si>
  <si>
    <t xml:space="preserve">Total</t>
  </si>
  <si>
    <t xml:space="preserve">Check vs paychecks (should be 0)</t>
  </si>
  <si>
    <t xml:space="preserve">TODAY (current split)</t>
  </si>
  <si>
    <t xml:space="preserve">SPAXX</t>
  </si>
  <si>
    <t xml:space="preserve">CHANGE to make</t>
  </si>
  <si>
    <t xml:space="preserve">Weekly envelopes — Checking account (debit card)</t>
  </si>
  <si>
    <t xml:space="preserve">Weekly = monthly target × 12 ÷ 52. Targets come from the Budget sheet (green = link), so edit them there. 'Q3 /wk' = what you actually spent in Jul–Sep.</t>
  </si>
  <si>
    <t xml:space="preserve">Envelope (spend-as-you-go)</t>
  </si>
  <si>
    <t xml:space="preserve">Monthly target</t>
  </si>
  <si>
    <t xml:space="preserve">WEEKLY target</t>
  </si>
  <si>
    <t xml:space="preserve">Q3 actual /wk</t>
  </si>
  <si>
    <t xml:space="preserve">Δ /wk vs Q3</t>
  </si>
  <si>
    <t xml:space="preserve">Jan–Sep avg /wk</t>
  </si>
  <si>
    <t xml:space="preserve">Groceries</t>
  </si>
  <si>
    <t xml:space="preserve">Takeout (DoorDash, Grubhub)</t>
  </si>
  <si>
    <t xml:space="preserve">Gas</t>
  </si>
  <si>
    <t xml:space="preserve">Amazon + household orders</t>
  </si>
  <si>
    <t xml:space="preserve">Fun money (movies, hobbies, cash)</t>
  </si>
  <si>
    <t xml:space="preserve">Spend-as-you-go total</t>
  </si>
  <si>
    <t xml:space="preserve">Planned / lumpy — handle monthly, not weekly</t>
  </si>
  <si>
    <t xml:space="preserve">Per week equivalent</t>
  </si>
  <si>
    <t xml:space="preserve">Planned / lumpy total</t>
  </si>
  <si>
    <t xml:space="preserve">EVERYTHING in Checking, per week</t>
  </si>
  <si>
    <t xml:space="preserve">Check: equals Budget Checking subtotal ÷ 52 × 12</t>
  </si>
  <si>
    <t xml:space="preserve">Check vs Budget subtotal (should be 0)</t>
  </si>
  <si>
    <t xml:space="preserve">Months with a 5th Allison paycheck (2026: Apr, Jul, Sep, Dec) are paid 52/12 — the 5th check is NOT envelope money; it goes to card paydown.</t>
  </si>
  <si>
    <t xml:space="preserve">Card payoff (avalanche) and emergency-fund timeline</t>
  </si>
  <si>
    <t xml:space="preserve">Avalanche = highest APR first. All paydown dollars come from the Budget sheet. Balances as of 9/27 per your config; APRs from your '💳 Debt consolidation' note. Estimates — replace with live statement figures.</t>
  </si>
  <si>
    <t xml:space="preserve">Input</t>
  </si>
  <si>
    <t xml:space="preserve">Value</t>
  </si>
  <si>
    <t xml:space="preserve">Source / note</t>
  </si>
  <si>
    <t xml:space="preserve">Result</t>
  </si>
  <si>
    <t xml:space="preserve">Read-out</t>
  </si>
  <si>
    <t xml:space="preserve">JetBlue (Barclay) balance</t>
  </si>
  <si>
    <t xml:space="preserve">Config debt tracker, 9/27/2026.</t>
  </si>
  <si>
    <t xml:space="preserve">JetBlue cleared</t>
  </si>
  <si>
    <t xml:space="preserve">JetBlue APR</t>
  </si>
  <si>
    <t xml:space="preserve">Debt consolidation note.</t>
  </si>
  <si>
    <t xml:space="preserve">Fidelity cleared</t>
  </si>
  <si>
    <t xml:space="preserve">Fidelity (Elan) balance</t>
  </si>
  <si>
    <t xml:space="preserve">All cards cleared</t>
  </si>
  <si>
    <t xml:space="preserve">Fidelity APR</t>
  </si>
  <si>
    <t xml:space="preserve">EF cash reaches the cash floor</t>
  </si>
  <si>
    <t xml:space="preserve">Fidelity minimum rule: % of balance on top of interest</t>
  </si>
  <si>
    <t xml:space="preserve">Assumption (typical issuer formula) — not from a statement.</t>
  </si>
  <si>
    <t xml:space="preserve">EF total reaches the 6-month cap</t>
  </si>
  <si>
    <t xml:space="preserve">Emergency fund — cash now (SPAXX + lifestyle)</t>
  </si>
  <si>
    <t xml:space="preserve">Config, 9/27/2026 (flagged CHECK as stale).</t>
  </si>
  <si>
    <t xml:space="preserve">Card interest paid from Nov-26 on</t>
  </si>
  <si>
    <t xml:space="preserve">EF cap: months of expenses</t>
  </si>
  <si>
    <t xml:space="preserve">Your rule: the EF is capped at 6 months of expenses, held as cash + stock investments.</t>
  </si>
  <si>
    <t xml:space="preserve">Interest drag today (/mo, both cards)</t>
  </si>
  <si>
    <t xml:space="preserve">Expense basis (1 = essentials, 2 = full budget)</t>
  </si>
  <si>
    <t xml:space="preserve">1 = Bills account + groceries + gas + pharmacy. 2 = everything in Bills + Checking. Your call — I defaulted to essentials.</t>
  </si>
  <si>
    <t xml:space="preserve">Not modeled: new card charges (plan assumes zero), end dates of the Capital One/TD/OnePay/Wells plans (assumed to continue), stock growth, EF interest (~4% on SPAXX), Oct payments.</t>
  </si>
  <si>
    <t xml:space="preserve">Essential monthly expenses</t>
  </si>
  <si>
    <t xml:space="preserve">Link to Budget targets.</t>
  </si>
  <si>
    <t xml:space="preserve">Full budget monthly expenses</t>
  </si>
  <si>
    <t xml:space="preserve">EF cap ($)</t>
  </si>
  <si>
    <t xml:space="preserve">Months × chosen expense basis.</t>
  </si>
  <si>
    <t xml:space="preserve">Stock investments earmarked as EF — market value</t>
  </si>
  <si>
    <t xml:space="preserve">Config brokerage_total (flagged stale): QQQ, SMH, VXUS, XBI. Replace with today's value; the Waymark-managed account is NOT counted.</t>
  </si>
  <si>
    <t xml:space="preserve">Haircut on stocks (drawdown + tax)</t>
  </si>
  <si>
    <t xml:space="preserve">Assumption. Stocks are worth least in the year you need them, and sales trigger tax (23.8% on long-term gains).</t>
  </si>
  <si>
    <t xml:space="preserve">Stocks counted toward EF</t>
  </si>
  <si>
    <t xml:space="preserve">Market value × (1 − haircut). Held flat — no growth assumed.</t>
  </si>
  <si>
    <t xml:space="preserve">Cash floor inside the cap (months of essentials)</t>
  </si>
  <si>
    <t xml:space="preserve">Assumption: at least half the cap sits in cash/SPAXX. Your call.</t>
  </si>
  <si>
    <t xml:space="preserve">Cash floor ($)</t>
  </si>
  <si>
    <t xml:space="preserve">Months × essentials.</t>
  </si>
  <si>
    <t xml:space="preserve">Phase 1 ends after</t>
  </si>
  <si>
    <t xml:space="preserve">Patriots tickets paid in Feb.</t>
  </si>
  <si>
    <t xml:space="preserve">Bonus/extra lump (net) — scenario</t>
  </si>
  <si>
    <t xml:space="preserve">Base case $0. Mar 2026 net bonus deposit was ≈ $38.9k — NOT assumed.</t>
  </si>
  <si>
    <t xml:space="preserve">Bonus lump lands in month</t>
  </si>
  <si>
    <t xml:space="preserve">Synchrony 0% AC loan — last payment month</t>
  </si>
  <si>
    <t xml:space="preserve">Estimate: $9,167 ÷ $342 ≈ 27 payments from Nov-26. Debt-note balance may be stale.</t>
  </si>
  <si>
    <t xml:space="preserve">Synchrony payment freed once it ends</t>
  </si>
  <si>
    <t xml:space="preserve">Link to Budget.</t>
  </si>
  <si>
    <t xml:space="preserve">Month</t>
  </si>
  <si>
    <t xml:space="preserve">Phase paydown</t>
  </si>
  <si>
    <t xml:space="preserve">Bonus lump</t>
  </si>
  <si>
    <t xml:space="preserve">Total available</t>
  </si>
  <si>
    <t xml:space="preserve">JetBlue begin</t>
  </si>
  <si>
    <t xml:space="preserve">JetBlue interest</t>
  </si>
  <si>
    <t xml:space="preserve">JetBlue payment</t>
  </si>
  <si>
    <t xml:space="preserve">JetBlue end</t>
  </si>
  <si>
    <t xml:space="preserve">Fidelity begin</t>
  </si>
  <si>
    <t xml:space="preserve">Fidelity interest</t>
  </si>
  <si>
    <t xml:space="preserve">Fidelity min</t>
  </si>
  <si>
    <t xml:space="preserve">Fidelity payment</t>
  </si>
  <si>
    <t xml:space="preserve">Fidelity end</t>
  </si>
  <si>
    <t xml:space="preserve">EF cash begin</t>
  </si>
  <si>
    <t xml:space="preserve">EF contribution (to cap)</t>
  </si>
  <si>
    <t xml:space="preserve">EF cash end</t>
  </si>
  <si>
    <t xml:space="preserve">JB cleared</t>
  </si>
  <si>
    <t xml:space="preserve">FI cleared</t>
  </si>
  <si>
    <t xml:space="preserve">Cards cleared</t>
  </si>
  <si>
    <t xml:space="preserve">Cash ≥ floor</t>
  </si>
  <si>
    <t xml:space="preserve">EF total ≥ cap</t>
  </si>
  <si>
    <t xml:space="preserve">Overflow after cap</t>
  </si>
  <si>
    <t xml:space="preserve">EF total (cash + stocks)</t>
  </si>
  <si>
    <t xml:space="preserve">Actuals by month — from the 12 statement CSVs (spend shown positive)</t>
  </si>
  <si>
    <t xml:space="preserve">Oct = Oct 1–13 only. Pending authorizations dated Oct 14–20 in the Checking export were excluded. Internal transfers, investment buys/sells and dividends excluded. Q-files used for completed quarters; 'Last 90' file used for Oct 1–13 only.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</si>
  <si>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</si>
  <si>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</si>
  <si>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</si>
  <si>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</si>
  <si>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</si>
  <si>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</si>
  <si>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</si>
  <si>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</si>
  <si>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</si>
  <si>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Oct*</t>
  </si>
  <si>
    <t xml:space="preserve">Jan–Sep total</t>
  </si>
  <si>
    <t xml:space="preserve">Jan–Sep avg</t>
  </si>
  <si>
    <t xml:space="preserve">Q3 avg</t>
  </si>
  <si>
    <t xml:space="preserve">INCOME (take-home deposits)</t>
  </si>
  <si>
    <t xml:space="preserve">Flagship payroll (all 3 accounts; Mar incl. ≈$38.9k bonus)</t>
  </si>
  <si>
    <t xml:space="preserve">UMass payroll (Allison; all 3 accounts)</t>
  </si>
  <si>
    <t xml:space="preserve">Other (checks received, $25k check 4/27, Venmo cashouts, card rewards)</t>
  </si>
  <si>
    <t xml:space="preserve">Subtotal</t>
  </si>
  <si>
    <t xml:space="preserve">CARD / STORE-CARD / LOAN-LINE PAYMENTS</t>
  </si>
  <si>
    <t xml:space="preserve">'CARDMEMBER SERV' card</t>
  </si>
  <si>
    <t xml:space="preserve">JetBlue (Barclay)</t>
  </si>
  <si>
    <t xml:space="preserve">Fidelity (Elan)</t>
  </si>
  <si>
    <t xml:space="preserve">Apple Card</t>
  </si>
  <si>
    <t xml:space="preserve">Holyoke CU, Capital One, TD Retail, OnePay/Sync, Wells Fargo</t>
  </si>
  <si>
    <t xml:space="preserve">SPENDING (debit card, checks, autopays)</t>
  </si>
  <si>
    <t xml:space="preserve">Mortgage</t>
  </si>
  <si>
    <t xml:space="preserve">Audi loan</t>
  </si>
  <si>
    <t xml:space="preserve">Synchrony installment</t>
  </si>
  <si>
    <t xml:space="preserve">Student loan (one payment, Feb)</t>
  </si>
  <si>
    <t xml:space="preserve">GEICO</t>
  </si>
  <si>
    <t xml:space="preserve">MassMutual + Lincoln National</t>
  </si>
  <si>
    <t xml:space="preserve">Heating oil / Petro</t>
  </si>
  <si>
    <t xml:space="preserve">Electric</t>
  </si>
  <si>
    <t xml:space="preserve">Water + trash</t>
  </si>
  <si>
    <t xml:space="preserve">Verizon</t>
  </si>
  <si>
    <t xml:space="preserve">SiriusXM / WGBH / E-ZPass</t>
  </si>
  <si>
    <t xml:space="preserve">Landscape / pest / pet waste</t>
  </si>
  <si>
    <t xml:space="preserve">Cleaning / laundry</t>
  </si>
  <si>
    <t xml:space="preserve">Weekly checks (unlabeled)</t>
  </si>
  <si>
    <t xml:space="preserve">Venmo payments</t>
  </si>
  <si>
    <t xml:space="preserve">Dining / coffee / treats</t>
  </si>
  <si>
    <t xml:space="preserve">Delivery apps</t>
  </si>
  <si>
    <t xml:space="preserve">Fuel / auto upkeep</t>
  </si>
  <si>
    <t xml:space="preserve">Home improvement / garden</t>
  </si>
  <si>
    <t xml:space="preserve">Amazon (retail)</t>
  </si>
  <si>
    <t xml:space="preserve">Clothing / shoes</t>
  </si>
  <si>
    <t xml:space="preserve">Personal care</t>
  </si>
  <si>
    <t xml:space="preserve">Health / pharmacy / vet</t>
  </si>
  <si>
    <t xml:space="preserve">Kids activities / lessons</t>
  </si>
  <si>
    <t xml:space="preserve">Kids STEM boxes</t>
  </si>
  <si>
    <t xml:space="preserve">Gaming (Nintendo/PlayStation)</t>
  </si>
  <si>
    <t xml:space="preserve">Apple.com/bill</t>
  </si>
  <si>
    <t xml:space="preserve">Streaming / audio / video</t>
  </si>
  <si>
    <t xml:space="preserve">News / info subscriptions</t>
  </si>
  <si>
    <t xml:space="preserve">Tools / software / professional</t>
  </si>
  <si>
    <t xml:space="preserve">Donations / advocacy</t>
  </si>
  <si>
    <t xml:space="preserve">Entertainment / hobbies / ATM cash</t>
  </si>
  <si>
    <t xml:space="preserve">Travel / trips (debit only)</t>
  </si>
  <si>
    <t xml:space="preserve">Fees / taxes / professional</t>
  </si>
  <si>
    <t xml:space="preserve">Unclassified</t>
  </si>
  <si>
    <t xml:space="preserve">Total outflow incl. card/loan-line payments</t>
  </si>
  <si>
    <t xml:space="preserve">Total income</t>
  </si>
  <si>
    <t xml:space="preserve">Income − outflow (before investing/transfers)</t>
  </si>
  <si>
    <t xml:space="preserve">Subscription &amp; recurring-charge audit</t>
  </si>
  <si>
    <t xml:space="preserve">From Checking/Bills statements Jan 1–Oct 13. 'Action' (blue) is my suggested default — change it; savings recalc. Cut = full annual savings; Review/Keep = $0 counted.</t>
  </si>
  <si>
    <t xml:space="preserve">Service</t>
  </si>
  <si>
    <t xml:space="preserve">Cadence</t>
  </si>
  <si>
    <t xml:space="preserve">Typical charge</t>
  </si>
  <si>
    <t xml:space="preserve">Annualized</t>
  </si>
  <si>
    <t xml:space="preserve">Action</t>
  </si>
  <si>
    <t xml:space="preserve">Annual savings if cut</t>
  </si>
  <si>
    <t xml:space="preserve">Last seen</t>
  </si>
  <si>
    <t xml:space="preserve">SiriusXM</t>
  </si>
  <si>
    <t xml:space="preserve">Monthly</t>
  </si>
  <si>
    <t xml:space="preserve">Keep</t>
  </si>
  <si>
    <t xml:space="preserve">2026-09-24</t>
  </si>
  <si>
    <t xml:space="preserve">Keeping (your call). Paid from Bills account.</t>
  </si>
  <si>
    <t xml:space="preserve">YouTube TV</t>
  </si>
  <si>
    <t xml:space="preserve">Review</t>
  </si>
  <si>
    <t xml:space="preserve">2026-10-01</t>
  </si>
  <si>
    <t xml:space="preserve">Largest streaming line. Compare with Netflix/Hulu usage.</t>
  </si>
  <si>
    <t xml:space="preserve">Netflix</t>
  </si>
  <si>
    <t xml:space="preserve">2026-10-08</t>
  </si>
  <si>
    <t xml:space="preserve">Hulu</t>
  </si>
  <si>
    <t xml:space="preserve">2026-10-07</t>
  </si>
  <si>
    <t xml:space="preserve">Overlaps YouTube TV's Hulu/live offering? Check.</t>
  </si>
  <si>
    <t xml:space="preserve">Spotify</t>
  </si>
  <si>
    <t xml:space="preserve">2026-09-22</t>
  </si>
  <si>
    <t xml:space="preserve">Amazon Prime (annual)</t>
  </si>
  <si>
    <t xml:space="preserve">Annual</t>
  </si>
  <si>
    <t xml:space="preserve">2026-09-21</t>
  </si>
  <si>
    <t xml:space="preserve">Charged 9/21. Plus a $4.99 monthly Prime charge — verify what it is.</t>
  </si>
  <si>
    <t xml:space="preserve">Amazon Prime monthly add-on</t>
  </si>
  <si>
    <t xml:space="preserve">2026-09-28</t>
  </si>
  <si>
    <t xml:space="preserve">Likely a channel add-on.</t>
  </si>
  <si>
    <t xml:space="preserve">Amazon Kids+ (FreeTime)</t>
  </si>
  <si>
    <t xml:space="preserve">$6.36 → $8.49 in Sep.</t>
  </si>
  <si>
    <t xml:space="preserve">Kindle Unlimited</t>
  </si>
  <si>
    <t xml:space="preserve">2026-09-15</t>
  </si>
  <si>
    <t xml:space="preserve">Overlaps Audible — keep one.</t>
  </si>
  <si>
    <t xml:space="preserve">Audible</t>
  </si>
  <si>
    <t xml:space="preserve">2026-10-05</t>
  </si>
  <si>
    <t xml:space="preserve">Was $14.95; now $8.99.</t>
  </si>
  <si>
    <t xml:space="preserve">NYTimes</t>
  </si>
  <si>
    <t xml:space="preserve">$25–$30/mo.</t>
  </si>
  <si>
    <t xml:space="preserve">Boston Globe</t>
  </si>
  <si>
    <t xml:space="preserve">Two daily-news subs + Atlantic + Medium.</t>
  </si>
  <si>
    <t xml:space="preserve">The Atlantic</t>
  </si>
  <si>
    <t xml:space="preserve">2026-03-30</t>
  </si>
  <si>
    <t xml:space="preserve">Medium</t>
  </si>
  <si>
    <t xml:space="preserve">2026-03-03</t>
  </si>
  <si>
    <t xml:space="preserve">ProPublica (donation)</t>
  </si>
  <si>
    <t xml:space="preserve">Charitable — your call.</t>
  </si>
  <si>
    <t xml:space="preserve">Patreon</t>
  </si>
  <si>
    <t xml:space="preserve">$5 + $10 charges.</t>
  </si>
  <si>
    <t xml:space="preserve">Ancestry</t>
  </si>
  <si>
    <t xml:space="preserve">2026-09-29</t>
  </si>
  <si>
    <t xml:space="preserve">$396/yr. Pause between research bursts.</t>
  </si>
  <si>
    <t xml:space="preserve">PayPal 'Noslusomund'</t>
  </si>
  <si>
    <t xml:space="preserve">2026-10-02</t>
  </si>
  <si>
    <t xml:space="preserve">Unrecognized merchant name — verify what it is.</t>
  </si>
  <si>
    <t xml:space="preserve">Daniels Table</t>
  </si>
  <si>
    <t xml:space="preserve">2026-09-16</t>
  </si>
  <si>
    <t xml:space="preserve">Verify what it is.</t>
  </si>
  <si>
    <t xml:space="preserve">GitHub</t>
  </si>
  <si>
    <t xml:space="preserve">2026-10-06</t>
  </si>
  <si>
    <t xml:space="preserve">Claude (Anthropic)</t>
  </si>
  <si>
    <t xml:space="preserve">Whoop</t>
  </si>
  <si>
    <t xml:space="preserve">2026-05-26</t>
  </si>
  <si>
    <t xml:space="preserve">Renewal charged May; also $349.67 in Jul (upgrade/second device?).</t>
  </si>
  <si>
    <t xml:space="preserve">Ring plan</t>
  </si>
  <si>
    <t xml:space="preserve">2026-09-08</t>
  </si>
  <si>
    <t xml:space="preserve">AI Pro plan $212.49 (Sep); Basic was $49.99 in Jan. Downgrade?</t>
  </si>
  <si>
    <t xml:space="preserve">Calendly</t>
  </si>
  <si>
    <t xml:space="preserve">Semiannual</t>
  </si>
  <si>
    <t xml:space="preserve">2026-06-15</t>
  </si>
  <si>
    <t xml:space="preserve">$102 (Mar) and $127.50 (Jun).</t>
  </si>
  <si>
    <t xml:space="preserve">ZenBusiness</t>
  </si>
  <si>
    <t xml:space="preserve">2026-04-02</t>
  </si>
  <si>
    <t xml:space="preserve">Business entity annual fee (X2 venture?).</t>
  </si>
  <si>
    <t xml:space="preserve">Raddish Kids</t>
  </si>
  <si>
    <t xml:space="preserve">2026-05-29</t>
  </si>
  <si>
    <t xml:space="preserve">Last charge May — confirm it was cancelled.</t>
  </si>
  <si>
    <t xml:space="preserve">CrunchLabs</t>
  </si>
  <si>
    <t xml:space="preserve">$34.77 → $115 → $130. Check which plan/crate.</t>
  </si>
  <si>
    <t xml:space="preserve">WGBH</t>
  </si>
  <si>
    <t xml:space="preserve">2026-10-13</t>
  </si>
  <si>
    <t xml:space="preserve">Public-media donation.</t>
  </si>
  <si>
    <t xml:space="preserve">Total recurring (annualized)</t>
  </si>
  <si>
    <t xml:space="preserve">Annualized, if every 'Review' item were cut (upper bound)</t>
  </si>
  <si>
    <t xml:space="preserve">Not in this list but bigger: Apple.com/bill (90 charges, $3,441 YTD; Q3 avg $572/mo vs ~$275 in H1), Nintendo/PlayStation ($935 YTD, $598 in Aug), Greenlight reloads ($1,307 YTD). These are the kids' digital spend — see Budget row 'Kids digital'.</t>
  </si>
  <si>
    <t xml:space="preserve">How to live by this budget</t>
  </si>
  <si>
    <t xml:space="preserve">Colors</t>
  </si>
  <si>
    <t xml:space="preserve">Blue = input/assumption you can change. Black = formula. Green = link from another sheet. Yellow/green fill = key results.</t>
  </si>
  <si>
    <t xml:space="preserve">Three accounts, three jobs</t>
  </si>
  <si>
    <t xml:space="preserve">Bills = autopay fixed obligations only. Checking = debit-card envelopes only. SPAXX = savings engine. The paycheck split on the Budget sheet is what makes each account's inflow equal its budget.</t>
  </si>
  <si>
    <t xml:space="preserve">No new card charges</t>
  </si>
  <si>
    <t xml:space="preserve">Pull JetBlue/Fidelity (and store cards) out of wallets, Apple Pay, Amazon, DoorDash, Apple ID. Cards exist only to be paid down until cleared.</t>
  </si>
  <si>
    <t xml:space="preserve">Lumpy costs get a sinking fund</t>
  </si>
  <si>
    <t xml:space="preserve">Travel, gifts, car/home repair, annual premiums, Patriots tickets — if it has a due date or a season, it has a monthly line. Sinking balances do NOT count toward the emergency fund.</t>
  </si>
  <si>
    <t xml:space="preserve">Payoff mechanics</t>
  </si>
  <si>
    <t xml:space="preserve">Autopay the minimum on every card. On each payday, send the Phase paydown amount to JetBlue (29.74%) until zero, then Fidelity (17.49%). Pay only the scheduled amount on the HELOC (Holyoke, now 7%, ~$1,100/mo 10-year P&amp;I) and the 0% loans (Synchrony AC, Wells Fargo plumbing) while a 29.74% or 17.49% balance exists.</t>
  </si>
  <si>
    <t xml:space="preserve">5th-paycheck months</t>
  </si>
  <si>
    <t xml:space="preserve">Allison is paid weekly: four months a year have five paychecks (2026: Apr, Jul, Sep, Dec). Budget on 52/12; the extra paycheck goes straight to card paydown/EF.</t>
  </si>
  <si>
    <t xml:space="preserve">Weekly 10-minute check (Sunday)</t>
  </si>
  <si>
    <t xml:space="preserve">Four numbers against the Weekly Envelopes sheet: groceries, dining + takeout, gas, Amazon.</t>
  </si>
  <si>
    <t xml:space="preserve">Protected 'joy' lines</t>
  </si>
  <si>
    <t xml:space="preserve">Thoreau Club, kids' activities, dining out, entertainment/hobbies, donations, family trips. These are funded first and not cut — the cuts come from app-store/gaming, Amazon, overlapping subscriptions, and insurance/phone/oil shopping. Takeout and SiriusXM are kept.</t>
  </si>
  <si>
    <t xml:space="preserve">Investing</t>
  </si>
  <si>
    <t xml:space="preserve">Phase 1 = no new investment dollars (your config rule). Dividend reinvestment is fine. Revisit when cards are cleared and EF is at target.</t>
  </si>
  <si>
    <t xml:space="preserve">Monthly reset</t>
  </si>
  <si>
    <t xml:space="preserve">Last Sunday of the month: update Actuals, re-run the plan, adjust targets.</t>
  </si>
  <si>
    <t xml:space="preserve">Assumptions &amp; sources</t>
  </si>
  <si>
    <t xml:space="preserve">•</t>
  </si>
  <si>
    <t xml:space="preserve">Income: Sep 2026 payroll deposits across the three accounts (statements).</t>
  </si>
  <si>
    <t xml:space="preserve">Debt balances: Kevin config debt tracker dated 2026-09-27 (JetBlue $9,800.78; Fidelity $5,341.52). APRs: 'Debt consolidation' note (JetBlue 29.74%, Fidelity 17.49%, HELOC 3.5% in the note — now 7% with ~$1,100 minimum per you, Volvo 5.49%, Audi 5.25%, Petro AC loan 0%). That note's balances are older than the config.</t>
  </si>
  <si>
    <t xml:space="preserve">Emergency fund $12,081 (SPAXX $9,501 + lifestyle $2,580) is from config 9/27 — the CSVs contain no balances, so I could not verify it.</t>
  </si>
  <si>
    <t xml:space="preserve">Sinking-fund amounts (travel $500, gifts $250, repair $200) are placeholders sized to replace card spend I cannot see; calibrate with card statements.</t>
  </si>
  <si>
    <t xml:space="preserve">Card charges are not in the statements — only payments are. The plan assumes zero new card charges.</t>
  </si>
  <si>
    <t xml:space="preserve">Categories are keyword-based on merchant strings; unclassified items are shown on Actuals. Weekly checks = cleaning help ($160/wk); DoorDash/Grubhub = family takeout (per you). HELOC payment of ~$1,100 is assumed from Nov-26. Synchrony = 0% AC-repair loan; Wells Fargo = 0% plumbing loan, assumed $450/mo (one payment seen).</t>
  </si>
  <si>
    <t xml:space="preserve">Not financial, tax, or legal advice.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</si>
</sst>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"/>
    <numFmt numFmtId="167" formatCode="\$#,##0;&quot;($&quot;#,##0\);\-"/>
    <numFmt numFmtId="168" formatCode="mmm\-yy"/>
    <numFmt numFmtId="169" formatCode="0.00%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80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3</v>
      </c>
      <c r="B5" s="6" t="n">
        <v>9665.75</v>
      </c>
      <c r="C5" s="2" t="s">
        <v>4</v>
      </c>
    </row>
    <row r="6" customFormat="false" ht="15" hidden="false" customHeight="false" outlineLevel="0" collapsed="false">
      <c r="A6" s="5" t="s">
        <v>5</v>
      </c>
      <c r="B6" s="7" t="n">
        <v>24</v>
      </c>
      <c r="C6" s="2" t="s">
        <v>6</v>
      </c>
    </row>
    <row r="7" customFormat="false" ht="15" hidden="false" customHeight="false" outlineLevel="0" collapsed="false">
      <c r="A7" s="5" t="s">
        <v>7</v>
      </c>
      <c r="B7" s="6" t="n">
        <v>1592.66</v>
      </c>
      <c r="C7" s="2" t="s">
        <v>8</v>
      </c>
    </row>
    <row r="8" customFormat="false" ht="15" hidden="false" customHeight="false" outlineLevel="0" collapsed="false">
      <c r="A8" s="5" t="s">
        <v>9</v>
      </c>
      <c r="B8" s="7" t="n">
        <v>52</v>
      </c>
      <c r="C8" s="2" t="s">
        <v>10</v>
      </c>
    </row>
    <row r="9" customFormat="false" ht="15" hidden="false" customHeight="false" outlineLevel="0" collapsed="false">
      <c r="A9" s="8" t="s">
        <v>11</v>
      </c>
      <c r="B9" s="9" t="n">
        <f aca="false">B5*B6/12+B7*B8/12</f>
        <v>26233.0266666667</v>
      </c>
      <c r="C9" s="2" t="s">
        <v>12</v>
      </c>
    </row>
    <row r="11" customFormat="false" ht="30" hidden="false" customHeight="true" outlineLevel="0" collapsed="false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  <c r="G11" s="10" t="s">
        <v>19</v>
      </c>
      <c r="H11" s="10" t="s">
        <v>20</v>
      </c>
    </row>
    <row r="12" customFormat="false" ht="15" hidden="false" customHeight="false" outlineLevel="0" collapsed="false">
      <c r="A12" s="3" t="s">
        <v>21</v>
      </c>
      <c r="B12" s="4"/>
      <c r="C12" s="4"/>
      <c r="D12" s="4"/>
      <c r="E12" s="4"/>
      <c r="F12" s="4"/>
      <c r="G12" s="4"/>
      <c r="H12" s="11"/>
    </row>
    <row r="13" customFormat="false" ht="15" hidden="false" customHeight="false" outlineLevel="0" collapsed="false">
      <c r="A13" s="5" t="s">
        <v>22</v>
      </c>
      <c r="B13" s="5" t="s">
        <v>23</v>
      </c>
      <c r="C13" s="5" t="s">
        <v>24</v>
      </c>
      <c r="D13" s="12" t="n">
        <v>6858</v>
      </c>
      <c r="E13" s="12" t="n">
        <v>6858</v>
      </c>
      <c r="F13" s="13" t="n">
        <v>6858</v>
      </c>
      <c r="G13" s="12" t="n">
        <f aca="false">F13-D13</f>
        <v>0</v>
      </c>
      <c r="H13" s="14" t="s">
        <v>25</v>
      </c>
    </row>
    <row r="14" customFormat="false" ht="15" hidden="false" customHeight="false" outlineLevel="0" collapsed="false">
      <c r="A14" s="5" t="s">
        <v>26</v>
      </c>
      <c r="B14" s="5" t="s">
        <v>23</v>
      </c>
      <c r="C14" s="5" t="s">
        <v>24</v>
      </c>
      <c r="D14" s="12" t="n">
        <v>1174</v>
      </c>
      <c r="E14" s="12" t="n">
        <v>1174</v>
      </c>
      <c r="F14" s="13" t="n">
        <v>1174</v>
      </c>
      <c r="G14" s="12" t="n">
        <f aca="false">F14-D14</f>
        <v>0</v>
      </c>
      <c r="H14" s="14" t="s">
        <v>27</v>
      </c>
    </row>
    <row r="15" customFormat="false" ht="15" hidden="false" customHeight="false" outlineLevel="0" collapsed="false">
      <c r="A15" s="5" t="s">
        <v>28</v>
      </c>
      <c r="B15" s="5" t="s">
        <v>23</v>
      </c>
      <c r="C15" s="5" t="s">
        <v>24</v>
      </c>
      <c r="D15" s="12" t="n">
        <v>1057</v>
      </c>
      <c r="E15" s="12" t="n">
        <v>1057</v>
      </c>
      <c r="F15" s="13" t="n">
        <v>1057</v>
      </c>
      <c r="G15" s="12" t="n">
        <f aca="false">F15-D15</f>
        <v>0</v>
      </c>
      <c r="H15" s="14" t="s">
        <v>29</v>
      </c>
    </row>
    <row r="16" customFormat="false" ht="22.35" hidden="false" customHeight="false" outlineLevel="0" collapsed="false">
      <c r="A16" s="5" t="s">
        <v>30</v>
      </c>
      <c r="B16" s="5" t="s">
        <v>23</v>
      </c>
      <c r="C16" s="5" t="s">
        <v>24</v>
      </c>
      <c r="D16" s="12" t="n">
        <v>342</v>
      </c>
      <c r="E16" s="12" t="n">
        <v>342</v>
      </c>
      <c r="F16" s="13" t="n">
        <v>342</v>
      </c>
      <c r="G16" s="12" t="n">
        <f aca="false">F16-D16</f>
        <v>0</v>
      </c>
      <c r="H16" s="14" t="s">
        <v>31</v>
      </c>
    </row>
    <row r="17" customFormat="false" ht="22.35" hidden="false" customHeight="false" outlineLevel="0" collapsed="false">
      <c r="A17" s="5" t="s">
        <v>32</v>
      </c>
      <c r="B17" s="5" t="s">
        <v>23</v>
      </c>
      <c r="C17" s="5" t="s">
        <v>24</v>
      </c>
      <c r="D17" s="12" t="n">
        <v>700</v>
      </c>
      <c r="E17" s="12" t="n">
        <v>619</v>
      </c>
      <c r="F17" s="13" t="n">
        <v>1100</v>
      </c>
      <c r="G17" s="12" t="n">
        <f aca="false">F17-D17</f>
        <v>400</v>
      </c>
      <c r="H17" s="14" t="s">
        <v>33</v>
      </c>
    </row>
    <row r="18" customFormat="false" ht="22.35" hidden="false" customHeight="false" outlineLevel="0" collapsed="false">
      <c r="A18" s="5" t="s">
        <v>34</v>
      </c>
      <c r="B18" s="5" t="s">
        <v>23</v>
      </c>
      <c r="C18" s="5" t="s">
        <v>24</v>
      </c>
      <c r="D18" s="12" t="n">
        <v>550</v>
      </c>
      <c r="E18" s="12" t="n">
        <v>606</v>
      </c>
      <c r="F18" s="13" t="n">
        <v>700</v>
      </c>
      <c r="G18" s="12" t="n">
        <f aca="false">F18-D18</f>
        <v>150</v>
      </c>
      <c r="H18" s="14" t="s">
        <v>35</v>
      </c>
    </row>
    <row r="19" customFormat="false" ht="22.35" hidden="false" customHeight="false" outlineLevel="0" collapsed="false">
      <c r="A19" s="5" t="s">
        <v>36</v>
      </c>
      <c r="B19" s="5" t="s">
        <v>23</v>
      </c>
      <c r="C19" s="5" t="s">
        <v>24</v>
      </c>
      <c r="D19" s="12" t="n">
        <v>150</v>
      </c>
      <c r="E19" s="12" t="n">
        <v>50</v>
      </c>
      <c r="F19" s="13" t="n">
        <v>450</v>
      </c>
      <c r="G19" s="12" t="n">
        <f aca="false">F19-D19</f>
        <v>300</v>
      </c>
      <c r="H19" s="14" t="s">
        <v>37</v>
      </c>
    </row>
    <row r="20" customFormat="false" ht="15" hidden="false" customHeight="false" outlineLevel="0" collapsed="false">
      <c r="A20" s="5" t="s">
        <v>38</v>
      </c>
      <c r="B20" s="5" t="s">
        <v>23</v>
      </c>
      <c r="C20" s="5" t="s">
        <v>24</v>
      </c>
      <c r="D20" s="12" t="n">
        <v>819</v>
      </c>
      <c r="E20" s="12" t="n">
        <v>844</v>
      </c>
      <c r="F20" s="13" t="n">
        <v>819</v>
      </c>
      <c r="G20" s="12" t="n">
        <f aca="false">F20-D20</f>
        <v>0</v>
      </c>
      <c r="H20" s="14" t="s">
        <v>39</v>
      </c>
    </row>
    <row r="21" customFormat="false" ht="15" hidden="false" customHeight="false" outlineLevel="0" collapsed="false">
      <c r="A21" s="5" t="s">
        <v>40</v>
      </c>
      <c r="B21" s="5" t="s">
        <v>23</v>
      </c>
      <c r="C21" s="5" t="s">
        <v>24</v>
      </c>
      <c r="D21" s="12" t="n">
        <v>287</v>
      </c>
      <c r="E21" s="12" t="n">
        <v>287</v>
      </c>
      <c r="F21" s="13" t="n">
        <v>287</v>
      </c>
      <c r="G21" s="12" t="n">
        <f aca="false">F21-D21</f>
        <v>0</v>
      </c>
      <c r="H21" s="14"/>
    </row>
    <row r="22" customFormat="false" ht="15" hidden="false" customHeight="false" outlineLevel="0" collapsed="false">
      <c r="A22" s="5" t="s">
        <v>41</v>
      </c>
      <c r="B22" s="5" t="s">
        <v>23</v>
      </c>
      <c r="C22" s="5" t="s">
        <v>42</v>
      </c>
      <c r="D22" s="12" t="n">
        <v>0</v>
      </c>
      <c r="E22" s="12" t="n">
        <v>124</v>
      </c>
      <c r="F22" s="13" t="n">
        <v>93</v>
      </c>
      <c r="G22" s="12" t="n">
        <f aca="false">F22-D22</f>
        <v>93</v>
      </c>
      <c r="H22" s="14" t="s">
        <v>43</v>
      </c>
    </row>
    <row r="23" customFormat="false" ht="32.8" hidden="false" customHeight="false" outlineLevel="0" collapsed="false">
      <c r="A23" s="5" t="s">
        <v>44</v>
      </c>
      <c r="B23" s="5" t="s">
        <v>23</v>
      </c>
      <c r="C23" s="5" t="s">
        <v>24</v>
      </c>
      <c r="D23" s="12" t="n">
        <v>1251</v>
      </c>
      <c r="E23" s="12" t="n">
        <v>826</v>
      </c>
      <c r="F23" s="13" t="n">
        <v>950</v>
      </c>
      <c r="G23" s="12" t="n">
        <f aca="false">F23-D23</f>
        <v>-301</v>
      </c>
      <c r="H23" s="14" t="s">
        <v>45</v>
      </c>
    </row>
    <row r="24" customFormat="false" ht="15" hidden="false" customHeight="false" outlineLevel="0" collapsed="false">
      <c r="A24" s="5" t="s">
        <v>46</v>
      </c>
      <c r="B24" s="5" t="s">
        <v>23</v>
      </c>
      <c r="C24" s="5" t="s">
        <v>24</v>
      </c>
      <c r="D24" s="12" t="n">
        <v>372</v>
      </c>
      <c r="E24" s="12" t="n">
        <v>267</v>
      </c>
      <c r="F24" s="13" t="n">
        <v>300</v>
      </c>
      <c r="G24" s="12" t="n">
        <f aca="false">F24-D24</f>
        <v>-72</v>
      </c>
      <c r="H24" s="14" t="s">
        <v>47</v>
      </c>
    </row>
    <row r="25" customFormat="false" ht="15" hidden="false" customHeight="false" outlineLevel="0" collapsed="false">
      <c r="A25" s="5" t="s">
        <v>48</v>
      </c>
      <c r="B25" s="5" t="s">
        <v>23</v>
      </c>
      <c r="C25" s="5" t="s">
        <v>24</v>
      </c>
      <c r="D25" s="12" t="n">
        <v>125</v>
      </c>
      <c r="E25" s="12" t="n">
        <v>141</v>
      </c>
      <c r="F25" s="13" t="n">
        <v>140</v>
      </c>
      <c r="G25" s="12" t="n">
        <f aca="false">F25-D25</f>
        <v>15</v>
      </c>
      <c r="H25" s="14" t="s">
        <v>49</v>
      </c>
    </row>
    <row r="26" customFormat="false" ht="15" hidden="false" customHeight="false" outlineLevel="0" collapsed="false">
      <c r="A26" s="5" t="s">
        <v>50</v>
      </c>
      <c r="B26" s="5" t="s">
        <v>23</v>
      </c>
      <c r="C26" s="5" t="s">
        <v>24</v>
      </c>
      <c r="D26" s="12" t="n">
        <v>353</v>
      </c>
      <c r="E26" s="12" t="n">
        <v>409</v>
      </c>
      <c r="F26" s="13" t="n">
        <v>347</v>
      </c>
      <c r="G26" s="12" t="n">
        <f aca="false">F26-D26</f>
        <v>-6</v>
      </c>
      <c r="H26" s="14" t="s">
        <v>51</v>
      </c>
    </row>
    <row r="27" customFormat="false" ht="15" hidden="false" customHeight="false" outlineLevel="0" collapsed="false">
      <c r="A27" s="5" t="s">
        <v>52</v>
      </c>
      <c r="B27" s="5" t="s">
        <v>23</v>
      </c>
      <c r="C27" s="5" t="s">
        <v>24</v>
      </c>
      <c r="D27" s="12" t="n">
        <v>125</v>
      </c>
      <c r="E27" s="12" t="n">
        <v>142</v>
      </c>
      <c r="F27" s="13" t="n">
        <v>125</v>
      </c>
      <c r="G27" s="12" t="n">
        <f aca="false">F27-D27</f>
        <v>0</v>
      </c>
      <c r="H27" s="14" t="s">
        <v>53</v>
      </c>
    </row>
    <row r="28" customFormat="false" ht="15" hidden="false" customHeight="false" outlineLevel="0" collapsed="false">
      <c r="A28" s="5" t="s">
        <v>54</v>
      </c>
      <c r="B28" s="5" t="s">
        <v>23</v>
      </c>
      <c r="C28" s="5" t="s">
        <v>55</v>
      </c>
      <c r="D28" s="12" t="n">
        <v>886</v>
      </c>
      <c r="E28" s="12" t="n">
        <v>619</v>
      </c>
      <c r="F28" s="13" t="n">
        <v>600</v>
      </c>
      <c r="G28" s="12" t="n">
        <f aca="false">F28-D28</f>
        <v>-286</v>
      </c>
      <c r="H28" s="14" t="s">
        <v>56</v>
      </c>
    </row>
    <row r="29" customFormat="false" ht="15" hidden="false" customHeight="false" outlineLevel="0" collapsed="false">
      <c r="A29" s="15" t="s">
        <v>57</v>
      </c>
      <c r="B29" s="16"/>
      <c r="C29" s="16"/>
      <c r="D29" s="17" t="n">
        <f aca="false">SUM(D13:D28)</f>
        <v>15049</v>
      </c>
      <c r="E29" s="17" t="n">
        <f aca="false">SUM(E13:E28)</f>
        <v>14365</v>
      </c>
      <c r="F29" s="17" t="n">
        <f aca="false">SUM(F13:F28)</f>
        <v>15342</v>
      </c>
      <c r="G29" s="17" t="n">
        <f aca="false">SUM(G13:G28)</f>
        <v>293</v>
      </c>
      <c r="H29" s="18"/>
    </row>
    <row r="30" customFormat="false" ht="15" hidden="false" customHeight="false" outlineLevel="0" collapsed="false">
      <c r="H30" s="19"/>
    </row>
    <row r="31" customFormat="false" ht="15" hidden="false" customHeight="false" outlineLevel="0" collapsed="false">
      <c r="A31" s="3" t="s">
        <v>58</v>
      </c>
      <c r="B31" s="4"/>
      <c r="C31" s="4"/>
      <c r="D31" s="4"/>
      <c r="E31" s="4"/>
      <c r="F31" s="4"/>
      <c r="G31" s="4"/>
      <c r="H31" s="11"/>
    </row>
    <row r="32" customFormat="false" ht="22.35" hidden="false" customHeight="false" outlineLevel="0" collapsed="false">
      <c r="A32" s="5" t="s">
        <v>59</v>
      </c>
      <c r="B32" s="5" t="s">
        <v>60</v>
      </c>
      <c r="C32" s="5" t="s">
        <v>55</v>
      </c>
      <c r="D32" s="12" t="n">
        <v>844</v>
      </c>
      <c r="E32" s="12" t="n">
        <v>733</v>
      </c>
      <c r="F32" s="13" t="n">
        <v>1050</v>
      </c>
      <c r="G32" s="12" t="n">
        <f aca="false">F32-D32</f>
        <v>206</v>
      </c>
      <c r="H32" s="14" t="s">
        <v>61</v>
      </c>
    </row>
    <row r="33" customFormat="false" ht="22.35" hidden="false" customHeight="false" outlineLevel="0" collapsed="false">
      <c r="A33" s="5" t="s">
        <v>62</v>
      </c>
      <c r="B33" s="5" t="s">
        <v>60</v>
      </c>
      <c r="C33" s="5" t="s">
        <v>63</v>
      </c>
      <c r="D33" s="12" t="n">
        <v>828</v>
      </c>
      <c r="E33" s="12" t="n">
        <v>965</v>
      </c>
      <c r="F33" s="13" t="n">
        <v>750</v>
      </c>
      <c r="G33" s="12" t="n">
        <f aca="false">F33-D33</f>
        <v>-78</v>
      </c>
      <c r="H33" s="14" t="s">
        <v>64</v>
      </c>
    </row>
    <row r="34" customFormat="false" ht="22.35" hidden="false" customHeight="false" outlineLevel="0" collapsed="false">
      <c r="A34" s="5" t="s">
        <v>65</v>
      </c>
      <c r="B34" s="5" t="s">
        <v>60</v>
      </c>
      <c r="C34" s="5" t="s">
        <v>63</v>
      </c>
      <c r="D34" s="12" t="n">
        <v>310</v>
      </c>
      <c r="E34" s="12" t="n">
        <v>325</v>
      </c>
      <c r="F34" s="13" t="n">
        <v>300</v>
      </c>
      <c r="G34" s="12" t="n">
        <f aca="false">F34-D34</f>
        <v>-10</v>
      </c>
      <c r="H34" s="14" t="s">
        <v>66</v>
      </c>
    </row>
    <row r="35" customFormat="false" ht="15" hidden="false" customHeight="false" outlineLevel="0" collapsed="false">
      <c r="A35" s="5" t="s">
        <v>67</v>
      </c>
      <c r="B35" s="5" t="s">
        <v>60</v>
      </c>
      <c r="C35" s="5" t="s">
        <v>24</v>
      </c>
      <c r="D35" s="12" t="n">
        <v>761</v>
      </c>
      <c r="E35" s="12" t="n">
        <v>952</v>
      </c>
      <c r="F35" s="13" t="n">
        <v>760</v>
      </c>
      <c r="G35" s="12" t="n">
        <f aca="false">F35-D35</f>
        <v>-1</v>
      </c>
      <c r="H35" s="14" t="s">
        <v>68</v>
      </c>
    </row>
    <row r="36" customFormat="false" ht="15" hidden="false" customHeight="false" outlineLevel="0" collapsed="false">
      <c r="A36" s="5" t="s">
        <v>69</v>
      </c>
      <c r="B36" s="5" t="s">
        <v>60</v>
      </c>
      <c r="C36" s="5" t="s">
        <v>55</v>
      </c>
      <c r="D36" s="12" t="n">
        <v>58</v>
      </c>
      <c r="E36" s="12" t="n">
        <v>74</v>
      </c>
      <c r="F36" s="13" t="n">
        <v>75</v>
      </c>
      <c r="G36" s="12" t="n">
        <f aca="false">F36-D36</f>
        <v>17</v>
      </c>
      <c r="H36" s="14"/>
    </row>
    <row r="37" customFormat="false" ht="15" hidden="false" customHeight="false" outlineLevel="0" collapsed="false">
      <c r="A37" s="5" t="s">
        <v>70</v>
      </c>
      <c r="B37" s="5" t="s">
        <v>60</v>
      </c>
      <c r="C37" s="5" t="s">
        <v>55</v>
      </c>
      <c r="D37" s="12" t="n">
        <v>334</v>
      </c>
      <c r="E37" s="12" t="n">
        <v>279</v>
      </c>
      <c r="F37" s="13" t="n">
        <v>340</v>
      </c>
      <c r="G37" s="12" t="n">
        <f aca="false">F37-D37</f>
        <v>6</v>
      </c>
      <c r="H37" s="14" t="s">
        <v>71</v>
      </c>
    </row>
    <row r="38" customFormat="false" ht="15" hidden="false" customHeight="false" outlineLevel="0" collapsed="false">
      <c r="A38" s="5" t="s">
        <v>72</v>
      </c>
      <c r="B38" s="5" t="s">
        <v>60</v>
      </c>
      <c r="C38" s="5" t="s">
        <v>55</v>
      </c>
      <c r="D38" s="12" t="n">
        <v>278</v>
      </c>
      <c r="E38" s="12" t="n">
        <v>274</v>
      </c>
      <c r="F38" s="13" t="n">
        <v>210</v>
      </c>
      <c r="G38" s="12" t="n">
        <f aca="false">F38-D38</f>
        <v>-68</v>
      </c>
      <c r="H38" s="14" t="s">
        <v>73</v>
      </c>
    </row>
    <row r="39" customFormat="false" ht="15" hidden="false" customHeight="false" outlineLevel="0" collapsed="false">
      <c r="A39" s="5" t="s">
        <v>74</v>
      </c>
      <c r="B39" s="5" t="s">
        <v>60</v>
      </c>
      <c r="C39" s="5" t="s">
        <v>55</v>
      </c>
      <c r="D39" s="12" t="n">
        <v>363</v>
      </c>
      <c r="E39" s="12" t="n">
        <v>464</v>
      </c>
      <c r="F39" s="13" t="n">
        <v>300</v>
      </c>
      <c r="G39" s="12" t="n">
        <f aca="false">F39-D39</f>
        <v>-63</v>
      </c>
      <c r="H39" s="14" t="s">
        <v>75</v>
      </c>
    </row>
    <row r="40" customFormat="false" ht="15" hidden="false" customHeight="false" outlineLevel="0" collapsed="false">
      <c r="A40" s="5" t="s">
        <v>76</v>
      </c>
      <c r="B40" s="5" t="s">
        <v>60</v>
      </c>
      <c r="C40" s="5" t="s">
        <v>63</v>
      </c>
      <c r="D40" s="12" t="n">
        <v>498</v>
      </c>
      <c r="E40" s="12" t="n">
        <v>499</v>
      </c>
      <c r="F40" s="13" t="n">
        <v>498</v>
      </c>
      <c r="G40" s="12" t="n">
        <f aca="false">F40-D40</f>
        <v>0</v>
      </c>
      <c r="H40" s="14" t="s">
        <v>77</v>
      </c>
    </row>
    <row r="41" customFormat="false" ht="15" hidden="false" customHeight="false" outlineLevel="0" collapsed="false">
      <c r="A41" s="5" t="s">
        <v>78</v>
      </c>
      <c r="B41" s="5" t="s">
        <v>60</v>
      </c>
      <c r="C41" s="5" t="s">
        <v>63</v>
      </c>
      <c r="D41" s="12" t="n">
        <v>493</v>
      </c>
      <c r="E41" s="12" t="n">
        <v>483</v>
      </c>
      <c r="F41" s="13" t="n">
        <v>490</v>
      </c>
      <c r="G41" s="12" t="n">
        <f aca="false">F41-D41</f>
        <v>-3</v>
      </c>
      <c r="H41" s="14" t="s">
        <v>79</v>
      </c>
    </row>
    <row r="42" customFormat="false" ht="15" hidden="false" customHeight="false" outlineLevel="0" collapsed="false">
      <c r="A42" s="5" t="s">
        <v>80</v>
      </c>
      <c r="B42" s="5" t="s">
        <v>60</v>
      </c>
      <c r="C42" s="5" t="s">
        <v>55</v>
      </c>
      <c r="D42" s="12" t="n">
        <v>207</v>
      </c>
      <c r="E42" s="12" t="n">
        <v>139</v>
      </c>
      <c r="F42" s="13" t="n">
        <v>200</v>
      </c>
      <c r="G42" s="12" t="n">
        <f aca="false">F42-D42</f>
        <v>-7</v>
      </c>
      <c r="H42" s="14" t="s">
        <v>81</v>
      </c>
    </row>
    <row r="43" customFormat="false" ht="22.35" hidden="false" customHeight="false" outlineLevel="0" collapsed="false">
      <c r="A43" s="5" t="s">
        <v>82</v>
      </c>
      <c r="B43" s="5" t="s">
        <v>60</v>
      </c>
      <c r="C43" s="5" t="s">
        <v>55</v>
      </c>
      <c r="D43" s="12" t="n">
        <v>870</v>
      </c>
      <c r="E43" s="12" t="n">
        <v>478</v>
      </c>
      <c r="F43" s="13" t="n">
        <v>350</v>
      </c>
      <c r="G43" s="12" t="n">
        <f aca="false">F43-D43</f>
        <v>-520</v>
      </c>
      <c r="H43" s="14" t="s">
        <v>83</v>
      </c>
    </row>
    <row r="44" customFormat="false" ht="15" hidden="false" customHeight="false" outlineLevel="0" collapsed="false">
      <c r="A44" s="5" t="s">
        <v>84</v>
      </c>
      <c r="B44" s="5" t="s">
        <v>60</v>
      </c>
      <c r="C44" s="5" t="s">
        <v>55</v>
      </c>
      <c r="D44" s="12" t="n">
        <v>93</v>
      </c>
      <c r="E44" s="12" t="n">
        <v>70</v>
      </c>
      <c r="F44" s="13" t="n">
        <v>50</v>
      </c>
      <c r="G44" s="12" t="n">
        <f aca="false">F44-D44</f>
        <v>-43</v>
      </c>
      <c r="H44" s="14" t="s">
        <v>85</v>
      </c>
    </row>
    <row r="45" customFormat="false" ht="15" hidden="false" customHeight="false" outlineLevel="0" collapsed="false">
      <c r="A45" s="5" t="s">
        <v>86</v>
      </c>
      <c r="B45" s="5" t="s">
        <v>60</v>
      </c>
      <c r="C45" s="5" t="s">
        <v>63</v>
      </c>
      <c r="D45" s="12" t="n">
        <v>296</v>
      </c>
      <c r="E45" s="12" t="n">
        <v>293</v>
      </c>
      <c r="F45" s="13" t="n">
        <v>300</v>
      </c>
      <c r="G45" s="12" t="n">
        <f aca="false">F45-D45</f>
        <v>4</v>
      </c>
      <c r="H45" s="14" t="s">
        <v>79</v>
      </c>
    </row>
    <row r="46" customFormat="false" ht="15" hidden="false" customHeight="false" outlineLevel="0" collapsed="false">
      <c r="A46" s="5" t="s">
        <v>87</v>
      </c>
      <c r="B46" s="5" t="s">
        <v>60</v>
      </c>
      <c r="C46" s="5" t="s">
        <v>55</v>
      </c>
      <c r="D46" s="12" t="n">
        <v>785</v>
      </c>
      <c r="E46" s="12" t="n">
        <v>1022</v>
      </c>
      <c r="F46" s="13" t="n">
        <v>500</v>
      </c>
      <c r="G46" s="12" t="n">
        <f aca="false">F46-D46</f>
        <v>-285</v>
      </c>
      <c r="H46" s="14" t="s">
        <v>88</v>
      </c>
    </row>
    <row r="47" customFormat="false" ht="15" hidden="false" customHeight="false" outlineLevel="0" collapsed="false">
      <c r="A47" s="5" t="s">
        <v>89</v>
      </c>
      <c r="B47" s="5" t="s">
        <v>60</v>
      </c>
      <c r="C47" s="5" t="s">
        <v>55</v>
      </c>
      <c r="D47" s="12" t="n">
        <v>280</v>
      </c>
      <c r="E47" s="12" t="n">
        <v>346</v>
      </c>
      <c r="F47" s="13" t="n">
        <v>250</v>
      </c>
      <c r="G47" s="12" t="n">
        <f aca="false">F47-D47</f>
        <v>-30</v>
      </c>
      <c r="H47" s="14"/>
    </row>
    <row r="48" customFormat="false" ht="15" hidden="false" customHeight="false" outlineLevel="0" collapsed="false">
      <c r="A48" s="5" t="s">
        <v>90</v>
      </c>
      <c r="B48" s="5" t="s">
        <v>60</v>
      </c>
      <c r="C48" s="5" t="s">
        <v>55</v>
      </c>
      <c r="D48" s="12" t="n">
        <v>101</v>
      </c>
      <c r="E48" s="12" t="n">
        <v>144</v>
      </c>
      <c r="F48" s="13" t="n">
        <v>100</v>
      </c>
      <c r="G48" s="12" t="n">
        <f aca="false">F48-D48</f>
        <v>-1</v>
      </c>
      <c r="H48" s="14"/>
    </row>
    <row r="49" customFormat="false" ht="15" hidden="false" customHeight="false" outlineLevel="0" collapsed="false">
      <c r="A49" s="5" t="s">
        <v>91</v>
      </c>
      <c r="B49" s="5" t="s">
        <v>60</v>
      </c>
      <c r="C49" s="5" t="s">
        <v>55</v>
      </c>
      <c r="D49" s="12" t="n">
        <v>63</v>
      </c>
      <c r="E49" s="12" t="n">
        <v>96</v>
      </c>
      <c r="F49" s="13" t="n">
        <v>75</v>
      </c>
      <c r="G49" s="12" t="n">
        <f aca="false">F49-D49</f>
        <v>12</v>
      </c>
      <c r="H49" s="14"/>
    </row>
    <row r="50" customFormat="false" ht="15" hidden="false" customHeight="false" outlineLevel="0" collapsed="false">
      <c r="A50" s="5" t="s">
        <v>92</v>
      </c>
      <c r="B50" s="5" t="s">
        <v>60</v>
      </c>
      <c r="C50" s="5" t="s">
        <v>55</v>
      </c>
      <c r="D50" s="12" t="n">
        <v>252</v>
      </c>
      <c r="E50" s="12" t="n">
        <v>214</v>
      </c>
      <c r="F50" s="13" t="n">
        <v>170</v>
      </c>
      <c r="G50" s="12" t="n">
        <f aca="false">F50-D50</f>
        <v>-82</v>
      </c>
      <c r="H50" s="14" t="s">
        <v>93</v>
      </c>
    </row>
    <row r="51" customFormat="false" ht="15" hidden="false" customHeight="false" outlineLevel="0" collapsed="false">
      <c r="A51" s="5" t="s">
        <v>94</v>
      </c>
      <c r="B51" s="5" t="s">
        <v>60</v>
      </c>
      <c r="C51" s="5" t="s">
        <v>55</v>
      </c>
      <c r="D51" s="12" t="n">
        <v>153</v>
      </c>
      <c r="E51" s="12" t="n">
        <v>176</v>
      </c>
      <c r="F51" s="13" t="n">
        <v>90</v>
      </c>
      <c r="G51" s="12" t="n">
        <f aca="false">F51-D51</f>
        <v>-63</v>
      </c>
      <c r="H51" s="14" t="s">
        <v>93</v>
      </c>
    </row>
    <row r="52" customFormat="false" ht="15" hidden="false" customHeight="false" outlineLevel="0" collapsed="false">
      <c r="A52" s="5" t="s">
        <v>95</v>
      </c>
      <c r="B52" s="5" t="s">
        <v>60</v>
      </c>
      <c r="C52" s="5" t="s">
        <v>55</v>
      </c>
      <c r="D52" s="12" t="n">
        <v>240</v>
      </c>
      <c r="E52" s="12" t="n">
        <v>298</v>
      </c>
      <c r="F52" s="13" t="n">
        <v>240</v>
      </c>
      <c r="G52" s="12" t="n">
        <f aca="false">F52-D52</f>
        <v>0</v>
      </c>
      <c r="H52" s="14" t="s">
        <v>96</v>
      </c>
    </row>
    <row r="53" customFormat="false" ht="15" hidden="false" customHeight="false" outlineLevel="0" collapsed="false">
      <c r="A53" s="5" t="s">
        <v>97</v>
      </c>
      <c r="B53" s="5" t="s">
        <v>60</v>
      </c>
      <c r="C53" s="5" t="s">
        <v>63</v>
      </c>
      <c r="D53" s="12" t="n">
        <v>38</v>
      </c>
      <c r="E53" s="12" t="n">
        <v>62</v>
      </c>
      <c r="F53" s="13" t="n">
        <v>75</v>
      </c>
      <c r="G53" s="12" t="n">
        <f aca="false">F53-D53</f>
        <v>37</v>
      </c>
      <c r="H53" s="14" t="s">
        <v>98</v>
      </c>
    </row>
    <row r="54" customFormat="false" ht="15" hidden="false" customHeight="false" outlineLevel="0" collapsed="false">
      <c r="A54" s="5" t="s">
        <v>99</v>
      </c>
      <c r="B54" s="5" t="s">
        <v>60</v>
      </c>
      <c r="C54" s="5" t="s">
        <v>55</v>
      </c>
      <c r="D54" s="12" t="n">
        <v>117</v>
      </c>
      <c r="E54" s="12" t="n">
        <v>113</v>
      </c>
      <c r="F54" s="13" t="n">
        <v>115</v>
      </c>
      <c r="G54" s="12" t="n">
        <f aca="false">F54-D54</f>
        <v>-2</v>
      </c>
      <c r="H54" s="14"/>
    </row>
    <row r="55" customFormat="false" ht="15" hidden="false" customHeight="false" outlineLevel="0" collapsed="false">
      <c r="A55" s="5" t="s">
        <v>100</v>
      </c>
      <c r="B55" s="5" t="s">
        <v>60</v>
      </c>
      <c r="C55" s="5" t="s">
        <v>55</v>
      </c>
      <c r="D55" s="12" t="n">
        <v>159</v>
      </c>
      <c r="E55" s="12" t="n">
        <v>174</v>
      </c>
      <c r="F55" s="13" t="n">
        <v>150</v>
      </c>
      <c r="G55" s="12" t="n">
        <f aca="false">F55-D55</f>
        <v>-9</v>
      </c>
      <c r="H55" s="14" t="s">
        <v>101</v>
      </c>
    </row>
    <row r="56" customFormat="false" ht="15" hidden="false" customHeight="false" outlineLevel="0" collapsed="false">
      <c r="A56" s="15" t="s">
        <v>102</v>
      </c>
      <c r="B56" s="16"/>
      <c r="C56" s="16"/>
      <c r="D56" s="17" t="n">
        <f aca="false">SUM(D32:D55)</f>
        <v>8421</v>
      </c>
      <c r="E56" s="17" t="n">
        <f aca="false">SUM(E32:E55)</f>
        <v>8673</v>
      </c>
      <c r="F56" s="17" t="n">
        <f aca="false">SUM(F32:F55)</f>
        <v>7438</v>
      </c>
      <c r="G56" s="17" t="n">
        <f aca="false">SUM(G32:G55)</f>
        <v>-983</v>
      </c>
      <c r="H56" s="18"/>
    </row>
    <row r="57" customFormat="false" ht="15" hidden="false" customHeight="false" outlineLevel="0" collapsed="false">
      <c r="H57" s="19"/>
    </row>
    <row r="58" customFormat="false" ht="15" hidden="false" customHeight="false" outlineLevel="0" collapsed="false">
      <c r="A58" s="3" t="s">
        <v>103</v>
      </c>
      <c r="B58" s="4"/>
      <c r="C58" s="4"/>
      <c r="D58" s="4"/>
      <c r="E58" s="4"/>
      <c r="F58" s="4"/>
      <c r="G58" s="4"/>
      <c r="H58" s="11"/>
    </row>
    <row r="59" customFormat="false" ht="15" hidden="false" customHeight="false" outlineLevel="0" collapsed="false">
      <c r="A59" s="5" t="s">
        <v>104</v>
      </c>
      <c r="F59" s="12" t="n">
        <f aca="false">B9</f>
        <v>26233.0266666667</v>
      </c>
      <c r="H59" s="19"/>
    </row>
    <row r="60" customFormat="false" ht="15" hidden="false" customHeight="false" outlineLevel="0" collapsed="false">
      <c r="A60" s="5" t="s">
        <v>105</v>
      </c>
      <c r="F60" s="12" t="n">
        <f aca="false">-F29</f>
        <v>-15342</v>
      </c>
      <c r="H60" s="19"/>
    </row>
    <row r="61" customFormat="false" ht="15" hidden="false" customHeight="false" outlineLevel="0" collapsed="false">
      <c r="A61" s="5" t="s">
        <v>106</v>
      </c>
      <c r="F61" s="12" t="n">
        <f aca="false">-F56</f>
        <v>-7438</v>
      </c>
      <c r="H61" s="19"/>
    </row>
    <row r="62" customFormat="false" ht="22.35" hidden="false" customHeight="false" outlineLevel="0" collapsed="false">
      <c r="A62" s="20" t="s">
        <v>107</v>
      </c>
      <c r="F62" s="9" t="n">
        <f aca="false">SUM(F59:F61)</f>
        <v>3453.02666666667</v>
      </c>
      <c r="H62" s="14" t="s">
        <v>108</v>
      </c>
    </row>
    <row r="63" customFormat="false" ht="15" hidden="false" customHeight="false" outlineLevel="0" collapsed="false">
      <c r="H63" s="19"/>
    </row>
    <row r="64" customFormat="false" ht="15" hidden="false" customHeight="false" outlineLevel="0" collapsed="false">
      <c r="A64" s="8" t="s">
        <v>109</v>
      </c>
      <c r="H64" s="19"/>
    </row>
    <row r="65" customFormat="false" ht="22.35" hidden="false" customHeight="false" outlineLevel="0" collapsed="false">
      <c r="A65" s="5" t="s">
        <v>110</v>
      </c>
      <c r="B65" s="5" t="s">
        <v>111</v>
      </c>
      <c r="C65" s="5" t="s">
        <v>42</v>
      </c>
      <c r="D65" s="12" t="n">
        <v>200</v>
      </c>
      <c r="F65" s="13" t="n">
        <v>500</v>
      </c>
      <c r="H65" s="14" t="s">
        <v>112</v>
      </c>
    </row>
    <row r="66" customFormat="false" ht="15" hidden="false" customHeight="false" outlineLevel="0" collapsed="false">
      <c r="A66" s="5" t="s">
        <v>113</v>
      </c>
      <c r="B66" s="5" t="s">
        <v>111</v>
      </c>
      <c r="C66" s="5" t="s">
        <v>42</v>
      </c>
      <c r="F66" s="13" t="n">
        <v>250</v>
      </c>
      <c r="H66" s="14" t="s">
        <v>114</v>
      </c>
    </row>
    <row r="67" customFormat="false" ht="15" hidden="false" customHeight="false" outlineLevel="0" collapsed="false">
      <c r="A67" s="5" t="s">
        <v>115</v>
      </c>
      <c r="B67" s="5" t="s">
        <v>111</v>
      </c>
      <c r="C67" s="5" t="s">
        <v>42</v>
      </c>
      <c r="F67" s="13" t="n">
        <v>200</v>
      </c>
      <c r="H67" s="14" t="s">
        <v>116</v>
      </c>
    </row>
    <row r="68" customFormat="false" ht="22.35" hidden="false" customHeight="false" outlineLevel="0" collapsed="false">
      <c r="A68" s="5" t="s">
        <v>117</v>
      </c>
      <c r="B68" s="5" t="s">
        <v>118</v>
      </c>
      <c r="C68" s="5" t="s">
        <v>42</v>
      </c>
      <c r="F68" s="12" t="n">
        <f aca="false">MAX(F74-F75-F76,0)/F77</f>
        <v>1076.25</v>
      </c>
      <c r="H68" s="14" t="s">
        <v>119</v>
      </c>
    </row>
    <row r="69" customFormat="false" ht="15" hidden="false" customHeight="false" outlineLevel="0" collapsed="false">
      <c r="A69" s="15" t="s">
        <v>120</v>
      </c>
      <c r="F69" s="17" t="n">
        <f aca="false">SUM(F65:F68)</f>
        <v>2026.25</v>
      </c>
      <c r="H69" s="19"/>
    </row>
    <row r="70" customFormat="false" ht="22.35" hidden="false" customHeight="false" outlineLevel="0" collapsed="false">
      <c r="A70" s="20" t="s">
        <v>121</v>
      </c>
      <c r="F70" s="9" t="n">
        <f aca="false">F62-F69</f>
        <v>1426.77666666667</v>
      </c>
      <c r="H70" s="14" t="s">
        <v>122</v>
      </c>
    </row>
    <row r="71" customFormat="false" ht="15" hidden="false" customHeight="false" outlineLevel="0" collapsed="false">
      <c r="A71" s="20" t="s">
        <v>123</v>
      </c>
      <c r="F71" s="9" t="n">
        <f aca="false">F70+F68</f>
        <v>2503.02666666667</v>
      </c>
      <c r="H71" s="19"/>
    </row>
    <row r="72" customFormat="false" ht="15" hidden="false" customHeight="false" outlineLevel="0" collapsed="false">
      <c r="H72" s="19"/>
    </row>
    <row r="73" customFormat="false" ht="15" hidden="false" customHeight="false" outlineLevel="0" collapsed="false">
      <c r="A73" s="3" t="s">
        <v>124</v>
      </c>
      <c r="B73" s="4"/>
      <c r="C73" s="4"/>
      <c r="D73" s="4"/>
      <c r="E73" s="4"/>
      <c r="F73" s="4"/>
      <c r="G73" s="4"/>
      <c r="H73" s="11"/>
    </row>
    <row r="74" customFormat="false" ht="15" hidden="false" customHeight="false" outlineLevel="0" collapsed="false">
      <c r="A74" s="5" t="s">
        <v>125</v>
      </c>
      <c r="F74" s="13" t="n">
        <v>5000</v>
      </c>
      <c r="H74" s="14" t="s">
        <v>126</v>
      </c>
    </row>
    <row r="75" customFormat="false" ht="15" hidden="false" customHeight="false" outlineLevel="0" collapsed="false">
      <c r="A75" s="5" t="s">
        <v>127</v>
      </c>
      <c r="F75" s="13" t="n">
        <v>695</v>
      </c>
      <c r="H75" s="14" t="s">
        <v>128</v>
      </c>
    </row>
    <row r="76" customFormat="false" ht="15" hidden="false" customHeight="false" outlineLevel="0" collapsed="false">
      <c r="A76" s="5" t="s">
        <v>129</v>
      </c>
      <c r="F76" s="13" t="n">
        <v>0</v>
      </c>
      <c r="H76" s="14" t="s">
        <v>130</v>
      </c>
    </row>
    <row r="77" customFormat="false" ht="15" hidden="false" customHeight="false" outlineLevel="0" collapsed="false">
      <c r="A77" s="5" t="s">
        <v>131</v>
      </c>
      <c r="F77" s="7" t="n">
        <v>4</v>
      </c>
      <c r="H77" s="14"/>
    </row>
    <row r="78" customFormat="false" ht="15" hidden="false" customHeight="false" outlineLevel="0" collapsed="false">
      <c r="H78" s="19"/>
    </row>
    <row r="79" customFormat="false" ht="15" hidden="false" customHeight="false" outlineLevel="0" collapsed="false">
      <c r="A79" s="3" t="s">
        <v>132</v>
      </c>
      <c r="B79" s="4"/>
      <c r="C79" s="4"/>
      <c r="D79" s="4"/>
      <c r="E79" s="4"/>
      <c r="F79" s="4"/>
      <c r="G79" s="4"/>
      <c r="H79" s="11"/>
    </row>
    <row r="80" customFormat="false" ht="30" hidden="false" customHeight="true" outlineLevel="0" collapsed="false">
      <c r="A80" s="10" t="s">
        <v>133</v>
      </c>
      <c r="B80" s="10"/>
      <c r="C80" s="10"/>
      <c r="D80" s="10" t="s">
        <v>134</v>
      </c>
      <c r="E80" s="10" t="s">
        <v>135</v>
      </c>
      <c r="F80" s="10" t="s">
        <v>136</v>
      </c>
      <c r="G80" s="10"/>
      <c r="H80" s="21"/>
    </row>
    <row r="81" customFormat="false" ht="22.35" hidden="false" customHeight="false" outlineLevel="0" collapsed="false">
      <c r="A81" s="5" t="s">
        <v>23</v>
      </c>
      <c r="D81" s="12" t="n">
        <f aca="false">F29</f>
        <v>15342</v>
      </c>
      <c r="E81" s="22" t="n">
        <f aca="false">(D81-F81*$B$8/12)/($B$6/12)</f>
        <v>5039.51666666667</v>
      </c>
      <c r="F81" s="22" t="n">
        <f aca="false">$B$7-F82-F83</f>
        <v>1214.53076923077</v>
      </c>
      <c r="H81" s="14" t="s">
        <v>137</v>
      </c>
    </row>
    <row r="82" customFormat="false" ht="15" hidden="false" customHeight="false" outlineLevel="0" collapsed="false">
      <c r="A82" s="5" t="s">
        <v>60</v>
      </c>
      <c r="D82" s="12" t="n">
        <f aca="false">F56</f>
        <v>7438</v>
      </c>
      <c r="E82" s="6" t="n">
        <v>2899.72</v>
      </c>
      <c r="F82" s="22" t="n">
        <f aca="false">(D82-E82*$B$6/12)/($B$8/12)</f>
        <v>378.129230769231</v>
      </c>
      <c r="H82" s="19"/>
    </row>
    <row r="83" customFormat="false" ht="15" hidden="false" customHeight="false" outlineLevel="0" collapsed="false">
      <c r="A83" s="5" t="s">
        <v>138</v>
      </c>
      <c r="D83" s="12" t="n">
        <f aca="false">F62</f>
        <v>3453.02666666667</v>
      </c>
      <c r="E83" s="22" t="n">
        <f aca="false">(D83-F83*$B$8/12)/($B$6/12)</f>
        <v>1726.51333333333</v>
      </c>
      <c r="F83" s="6" t="n">
        <v>0</v>
      </c>
      <c r="H83" s="19"/>
    </row>
    <row r="84" customFormat="false" ht="15" hidden="false" customHeight="false" outlineLevel="0" collapsed="false">
      <c r="A84" s="8" t="s">
        <v>139</v>
      </c>
      <c r="E84" s="22" t="n">
        <f aca="false">SUM(E81:E83)</f>
        <v>9665.75</v>
      </c>
      <c r="F84" s="22" t="n">
        <f aca="false">SUM(F81:F83)</f>
        <v>1592.66</v>
      </c>
      <c r="H84" s="19"/>
    </row>
    <row r="85" customFormat="false" ht="15" hidden="false" customHeight="false" outlineLevel="0" collapsed="false">
      <c r="A85" s="2" t="s">
        <v>140</v>
      </c>
      <c r="E85" s="23" t="n">
        <f aca="false">E84-$B$5</f>
        <v>0</v>
      </c>
      <c r="F85" s="23" t="n">
        <f aca="false">F84-$B$7</f>
        <v>0</v>
      </c>
      <c r="H85" s="19"/>
    </row>
    <row r="86" customFormat="false" ht="15" hidden="false" customHeight="false" outlineLevel="0" collapsed="false">
      <c r="H86" s="19"/>
    </row>
    <row r="87" customFormat="false" ht="23.85" hidden="false" customHeight="false" outlineLevel="0" collapsed="false">
      <c r="A87" s="10" t="s">
        <v>141</v>
      </c>
      <c r="B87" s="10"/>
      <c r="C87" s="10"/>
      <c r="D87" s="10"/>
      <c r="E87" s="10" t="s">
        <v>135</v>
      </c>
      <c r="F87" s="10" t="s">
        <v>136</v>
      </c>
      <c r="G87" s="10"/>
      <c r="H87" s="21"/>
    </row>
    <row r="88" customFormat="false" ht="15" hidden="false" customHeight="false" outlineLevel="0" collapsed="false">
      <c r="A88" s="5" t="s">
        <v>23</v>
      </c>
      <c r="E88" s="6" t="n">
        <v>4832.88</v>
      </c>
      <c r="F88" s="6" t="n">
        <v>796.33</v>
      </c>
      <c r="H88" s="19"/>
    </row>
    <row r="89" customFormat="false" ht="15" hidden="false" customHeight="false" outlineLevel="0" collapsed="false">
      <c r="A89" s="5" t="s">
        <v>60</v>
      </c>
      <c r="E89" s="6" t="n">
        <v>2899.72</v>
      </c>
      <c r="F89" s="6" t="n">
        <v>477.8</v>
      </c>
      <c r="H89" s="19"/>
    </row>
    <row r="90" customFormat="false" ht="15" hidden="false" customHeight="false" outlineLevel="0" collapsed="false">
      <c r="A90" s="5" t="s">
        <v>142</v>
      </c>
      <c r="E90" s="6" t="n">
        <v>1933.15</v>
      </c>
      <c r="F90" s="6" t="n">
        <v>318.53</v>
      </c>
      <c r="H90" s="19"/>
    </row>
    <row r="91" customFormat="false" ht="15" hidden="false" customHeight="false" outlineLevel="0" collapsed="false">
      <c r="H91" s="19"/>
    </row>
    <row r="92" customFormat="false" ht="23.85" hidden="false" customHeight="false" outlineLevel="0" collapsed="false">
      <c r="A92" s="10" t="s">
        <v>143</v>
      </c>
      <c r="B92" s="10"/>
      <c r="C92" s="10"/>
      <c r="D92" s="10"/>
      <c r="E92" s="10" t="s">
        <v>135</v>
      </c>
      <c r="F92" s="10" t="s">
        <v>136</v>
      </c>
      <c r="G92" s="10"/>
      <c r="H92" s="21"/>
    </row>
    <row r="93" customFormat="false" ht="15" hidden="false" customHeight="false" outlineLevel="0" collapsed="false">
      <c r="A93" s="5" t="s">
        <v>23</v>
      </c>
      <c r="E93" s="24" t="n">
        <f aca="false">E81-E88</f>
        <v>206.636666666666</v>
      </c>
      <c r="F93" s="24" t="n">
        <f aca="false">F81-F88</f>
        <v>418.200769230769</v>
      </c>
      <c r="H93" s="19"/>
    </row>
    <row r="94" customFormat="false" ht="15" hidden="false" customHeight="false" outlineLevel="0" collapsed="false">
      <c r="A94" s="5" t="s">
        <v>60</v>
      </c>
      <c r="E94" s="24" t="n">
        <f aca="false">E82-E89</f>
        <v>0</v>
      </c>
      <c r="F94" s="24" t="n">
        <f aca="false">F82-F89</f>
        <v>-99.6707692307691</v>
      </c>
      <c r="H94" s="19"/>
    </row>
    <row r="95" customFormat="false" ht="15" hidden="false" customHeight="false" outlineLevel="0" collapsed="false">
      <c r="A95" s="5" t="s">
        <v>142</v>
      </c>
      <c r="E95" s="24" t="n">
        <f aca="false">E83-E90</f>
        <v>-206.636666666666</v>
      </c>
      <c r="F95" s="24" t="n">
        <f aca="false">F83-F90</f>
        <v>-318.53</v>
      </c>
      <c r="H9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30" hidden="false" customHeight="true" outlineLevel="0" collapsed="false">
      <c r="A4" s="10" t="s">
        <v>146</v>
      </c>
      <c r="B4" s="10" t="s">
        <v>147</v>
      </c>
      <c r="C4" s="10" t="s">
        <v>148</v>
      </c>
      <c r="D4" s="10" t="s">
        <v>149</v>
      </c>
      <c r="E4" s="10" t="s">
        <v>150</v>
      </c>
      <c r="F4" s="10" t="s">
        <v>151</v>
      </c>
    </row>
    <row r="5" customFormat="false" ht="15" hidden="false" customHeight="false" outlineLevel="0" collapsed="false">
      <c r="A5" s="5" t="s">
        <v>152</v>
      </c>
      <c r="B5" s="25" t="n">
        <f aca="false">Budget!F32</f>
        <v>1050</v>
      </c>
      <c r="C5" s="9" t="n">
        <f aca="false">B5*12/52</f>
        <v>242.307692307692</v>
      </c>
      <c r="D5" s="25" t="n">
        <f aca="false">Budget!D32*12/52</f>
        <v>194.769230769231</v>
      </c>
      <c r="E5" s="12" t="n">
        <f aca="false">C5-D5</f>
        <v>47.5384615384616</v>
      </c>
      <c r="F5" s="25" t="n">
        <f aca="false">Budget!E32*12/52</f>
        <v>169.153846153846</v>
      </c>
    </row>
    <row r="6" customFormat="false" ht="15" hidden="false" customHeight="false" outlineLevel="0" collapsed="false">
      <c r="A6" s="5" t="s">
        <v>62</v>
      </c>
      <c r="B6" s="25" t="n">
        <f aca="false">Budget!F33</f>
        <v>750</v>
      </c>
      <c r="C6" s="9" t="n">
        <f aca="false">B6*12/52</f>
        <v>173.076923076923</v>
      </c>
      <c r="D6" s="25" t="n">
        <f aca="false">Budget!D33*12/52</f>
        <v>191.076923076923</v>
      </c>
      <c r="E6" s="12" t="n">
        <f aca="false">C6-D6</f>
        <v>-18</v>
      </c>
      <c r="F6" s="25" t="n">
        <f aca="false">Budget!E33*12/52</f>
        <v>222.692307692308</v>
      </c>
    </row>
    <row r="7" customFormat="false" ht="15" hidden="false" customHeight="false" outlineLevel="0" collapsed="false">
      <c r="A7" s="5" t="s">
        <v>153</v>
      </c>
      <c r="B7" s="25" t="n">
        <f aca="false">Budget!F34</f>
        <v>300</v>
      </c>
      <c r="C7" s="9" t="n">
        <f aca="false">B7*12/52</f>
        <v>69.2307692307692</v>
      </c>
      <c r="D7" s="25" t="n">
        <f aca="false">Budget!D34*12/52</f>
        <v>71.5384615384615</v>
      </c>
      <c r="E7" s="12" t="n">
        <f aca="false">C7-D7</f>
        <v>-2.30769230769231</v>
      </c>
      <c r="F7" s="25" t="n">
        <f aca="false">Budget!E34*12/52</f>
        <v>75</v>
      </c>
    </row>
    <row r="8" customFormat="false" ht="15" hidden="false" customHeight="false" outlineLevel="0" collapsed="false">
      <c r="A8" s="5" t="s">
        <v>154</v>
      </c>
      <c r="B8" s="25" t="n">
        <f aca="false">Budget!F37</f>
        <v>340</v>
      </c>
      <c r="C8" s="9" t="n">
        <f aca="false">B8*12/52</f>
        <v>78.4615384615385</v>
      </c>
      <c r="D8" s="25" t="n">
        <f aca="false">Budget!D37*12/52</f>
        <v>77.0769230769231</v>
      </c>
      <c r="E8" s="12" t="n">
        <f aca="false">C8-D8</f>
        <v>1.38461538461539</v>
      </c>
      <c r="F8" s="25" t="n">
        <f aca="false">Budget!E37*12/52</f>
        <v>64.3846153846154</v>
      </c>
    </row>
    <row r="9" customFormat="false" ht="15" hidden="false" customHeight="false" outlineLevel="0" collapsed="false">
      <c r="A9" s="5" t="s">
        <v>155</v>
      </c>
      <c r="B9" s="25" t="n">
        <f aca="false">Budget!F46</f>
        <v>500</v>
      </c>
      <c r="C9" s="9" t="n">
        <f aca="false">B9*12/52</f>
        <v>115.384615384615</v>
      </c>
      <c r="D9" s="25" t="n">
        <f aca="false">Budget!D46*12/52</f>
        <v>181.153846153846</v>
      </c>
      <c r="E9" s="12" t="n">
        <f aca="false">C9-D9</f>
        <v>-65.7692307692308</v>
      </c>
      <c r="F9" s="25" t="n">
        <f aca="false">Budget!E46*12/52</f>
        <v>235.846153846154</v>
      </c>
    </row>
    <row r="10" customFormat="false" ht="15" hidden="false" customHeight="false" outlineLevel="0" collapsed="false">
      <c r="A10" s="5" t="s">
        <v>80</v>
      </c>
      <c r="B10" s="25" t="n">
        <f aca="false">Budget!F42</f>
        <v>200</v>
      </c>
      <c r="C10" s="9" t="n">
        <f aca="false">B10*12/52</f>
        <v>46.1538461538462</v>
      </c>
      <c r="D10" s="25" t="n">
        <f aca="false">Budget!D42*12/52</f>
        <v>47.7692307692308</v>
      </c>
      <c r="E10" s="12" t="n">
        <f aca="false">C10-D10</f>
        <v>-1.61538461538461</v>
      </c>
      <c r="F10" s="25" t="n">
        <f aca="false">Budget!E42*12/52</f>
        <v>32.0769230769231</v>
      </c>
    </row>
    <row r="11" customFormat="false" ht="15" hidden="false" customHeight="false" outlineLevel="0" collapsed="false">
      <c r="A11" s="5" t="s">
        <v>156</v>
      </c>
      <c r="B11" s="25" t="n">
        <f aca="false">Budget!F45</f>
        <v>300</v>
      </c>
      <c r="C11" s="9" t="n">
        <f aca="false">B11*12/52</f>
        <v>69.2307692307692</v>
      </c>
      <c r="D11" s="25" t="n">
        <f aca="false">Budget!D45*12/52</f>
        <v>68.3076923076923</v>
      </c>
      <c r="E11" s="12" t="n">
        <f aca="false">C11-D11</f>
        <v>0.92307692307692</v>
      </c>
      <c r="F11" s="25" t="n">
        <f aca="false">Budget!E45*12/52</f>
        <v>67.6153846153846</v>
      </c>
    </row>
    <row r="12" customFormat="false" ht="15" hidden="false" customHeight="false" outlineLevel="0" collapsed="false">
      <c r="A12" s="15" t="s">
        <v>157</v>
      </c>
      <c r="B12" s="17" t="n">
        <f aca="false">SUM(B5:B11)</f>
        <v>3440</v>
      </c>
      <c r="C12" s="17" t="n">
        <f aca="false">SUM(C5:C11)</f>
        <v>793.846153846154</v>
      </c>
      <c r="D12" s="17" t="n">
        <f aca="false">SUM(D5:D11)</f>
        <v>831.692307692308</v>
      </c>
      <c r="E12" s="17" t="n">
        <f aca="false">SUM(E5:E11)</f>
        <v>-37.8461538461538</v>
      </c>
      <c r="F12" s="17" t="n">
        <f aca="false">SUM(F5:F11)</f>
        <v>866.769230769231</v>
      </c>
    </row>
    <row r="14" customFormat="false" ht="15" hidden="false" customHeight="false" outlineLevel="0" collapsed="false">
      <c r="A14" s="3" t="s">
        <v>158</v>
      </c>
      <c r="B14" s="4"/>
      <c r="C14" s="4"/>
      <c r="D14" s="4"/>
      <c r="E14" s="4"/>
      <c r="F14" s="4"/>
    </row>
    <row r="15" customFormat="false" ht="23.85" hidden="false" customHeight="false" outlineLevel="0" collapsed="false">
      <c r="A15" s="10" t="s">
        <v>13</v>
      </c>
      <c r="B15" s="10" t="s">
        <v>147</v>
      </c>
      <c r="C15" s="10" t="s">
        <v>159</v>
      </c>
      <c r="D15" s="10" t="s">
        <v>149</v>
      </c>
      <c r="E15" s="10"/>
      <c r="F15" s="10"/>
    </row>
    <row r="16" customFormat="false" ht="15" hidden="false" customHeight="false" outlineLevel="0" collapsed="false">
      <c r="A16" s="5" t="s">
        <v>67</v>
      </c>
      <c r="B16" s="25" t="n">
        <f aca="false">Budget!F35</f>
        <v>760</v>
      </c>
      <c r="C16" s="12" t="n">
        <f aca="false">B16*12/52</f>
        <v>175.384615384615</v>
      </c>
      <c r="D16" s="25" t="n">
        <f aca="false">Budget!D35*12/52</f>
        <v>175.615384615385</v>
      </c>
    </row>
    <row r="17" customFormat="false" ht="15" hidden="false" customHeight="false" outlineLevel="0" collapsed="false">
      <c r="A17" s="5" t="s">
        <v>69</v>
      </c>
      <c r="B17" s="25" t="n">
        <f aca="false">Budget!F36</f>
        <v>75</v>
      </c>
      <c r="C17" s="12" t="n">
        <f aca="false">B17*12/52</f>
        <v>17.3076923076923</v>
      </c>
      <c r="D17" s="25" t="n">
        <f aca="false">Budget!D36*12/52</f>
        <v>13.3846153846154</v>
      </c>
    </row>
    <row r="18" customFormat="false" ht="15" hidden="false" customHeight="false" outlineLevel="0" collapsed="false">
      <c r="A18" s="5" t="s">
        <v>72</v>
      </c>
      <c r="B18" s="25" t="n">
        <f aca="false">Budget!F38</f>
        <v>210</v>
      </c>
      <c r="C18" s="12" t="n">
        <f aca="false">B18*12/52</f>
        <v>48.4615384615385</v>
      </c>
      <c r="D18" s="25" t="n">
        <f aca="false">Budget!D38*12/52</f>
        <v>64.1538461538462</v>
      </c>
    </row>
    <row r="19" customFormat="false" ht="15" hidden="false" customHeight="false" outlineLevel="0" collapsed="false">
      <c r="A19" s="5" t="s">
        <v>74</v>
      </c>
      <c r="B19" s="25" t="n">
        <f aca="false">Budget!F39</f>
        <v>300</v>
      </c>
      <c r="C19" s="12" t="n">
        <f aca="false">B19*12/52</f>
        <v>69.2307692307692</v>
      </c>
      <c r="D19" s="25" t="n">
        <f aca="false">Budget!D39*12/52</f>
        <v>83.7692307692308</v>
      </c>
    </row>
    <row r="20" customFormat="false" ht="15" hidden="false" customHeight="false" outlineLevel="0" collapsed="false">
      <c r="A20" s="5" t="s">
        <v>76</v>
      </c>
      <c r="B20" s="25" t="n">
        <f aca="false">Budget!F40</f>
        <v>498</v>
      </c>
      <c r="C20" s="12" t="n">
        <f aca="false">B20*12/52</f>
        <v>114.923076923077</v>
      </c>
      <c r="D20" s="25" t="n">
        <f aca="false">Budget!D40*12/52</f>
        <v>114.923076923077</v>
      </c>
    </row>
    <row r="21" customFormat="false" ht="15" hidden="false" customHeight="false" outlineLevel="0" collapsed="false">
      <c r="A21" s="5" t="s">
        <v>78</v>
      </c>
      <c r="B21" s="25" t="n">
        <f aca="false">Budget!F41</f>
        <v>490</v>
      </c>
      <c r="C21" s="12" t="n">
        <f aca="false">B21*12/52</f>
        <v>113.076923076923</v>
      </c>
      <c r="D21" s="25" t="n">
        <f aca="false">Budget!D41*12/52</f>
        <v>113.769230769231</v>
      </c>
    </row>
    <row r="22" customFormat="false" ht="15" hidden="false" customHeight="false" outlineLevel="0" collapsed="false">
      <c r="A22" s="5" t="s">
        <v>82</v>
      </c>
      <c r="B22" s="25" t="n">
        <f aca="false">Budget!F43</f>
        <v>350</v>
      </c>
      <c r="C22" s="12" t="n">
        <f aca="false">B22*12/52</f>
        <v>80.7692307692308</v>
      </c>
      <c r="D22" s="25" t="n">
        <f aca="false">Budget!D43*12/52</f>
        <v>200.769230769231</v>
      </c>
    </row>
    <row r="23" customFormat="false" ht="15" hidden="false" customHeight="false" outlineLevel="0" collapsed="false">
      <c r="A23" s="5" t="s">
        <v>84</v>
      </c>
      <c r="B23" s="25" t="n">
        <f aca="false">Budget!F44</f>
        <v>50</v>
      </c>
      <c r="C23" s="12" t="n">
        <f aca="false">B23*12/52</f>
        <v>11.5384615384615</v>
      </c>
      <c r="D23" s="25" t="n">
        <f aca="false">Budget!D44*12/52</f>
        <v>21.4615384615385</v>
      </c>
    </row>
    <row r="24" customFormat="false" ht="15" hidden="false" customHeight="false" outlineLevel="0" collapsed="false">
      <c r="A24" s="5" t="s">
        <v>89</v>
      </c>
      <c r="B24" s="25" t="n">
        <f aca="false">Budget!F47</f>
        <v>250</v>
      </c>
      <c r="C24" s="12" t="n">
        <f aca="false">B24*12/52</f>
        <v>57.6923076923077</v>
      </c>
      <c r="D24" s="25" t="n">
        <f aca="false">Budget!D47*12/52</f>
        <v>64.6153846153846</v>
      </c>
    </row>
    <row r="25" customFormat="false" ht="15" hidden="false" customHeight="false" outlineLevel="0" collapsed="false">
      <c r="A25" s="5" t="s">
        <v>90</v>
      </c>
      <c r="B25" s="25" t="n">
        <f aca="false">Budget!F48</f>
        <v>100</v>
      </c>
      <c r="C25" s="12" t="n">
        <f aca="false">B25*12/52</f>
        <v>23.0769230769231</v>
      </c>
      <c r="D25" s="25" t="n">
        <f aca="false">Budget!D48*12/52</f>
        <v>23.3076923076923</v>
      </c>
    </row>
    <row r="26" customFormat="false" ht="15" hidden="false" customHeight="false" outlineLevel="0" collapsed="false">
      <c r="A26" s="5" t="s">
        <v>91</v>
      </c>
      <c r="B26" s="25" t="n">
        <f aca="false">Budget!F49</f>
        <v>75</v>
      </c>
      <c r="C26" s="12" t="n">
        <f aca="false">B26*12/52</f>
        <v>17.3076923076923</v>
      </c>
      <c r="D26" s="25" t="n">
        <f aca="false">Budget!D49*12/52</f>
        <v>14.5384615384615</v>
      </c>
    </row>
    <row r="27" customFormat="false" ht="15" hidden="false" customHeight="false" outlineLevel="0" collapsed="false">
      <c r="A27" s="5" t="s">
        <v>92</v>
      </c>
      <c r="B27" s="25" t="n">
        <f aca="false">Budget!F50</f>
        <v>170</v>
      </c>
      <c r="C27" s="12" t="n">
        <f aca="false">B27*12/52</f>
        <v>39.2307692307692</v>
      </c>
      <c r="D27" s="25" t="n">
        <f aca="false">Budget!D50*12/52</f>
        <v>58.1538461538462</v>
      </c>
    </row>
    <row r="28" customFormat="false" ht="15" hidden="false" customHeight="false" outlineLevel="0" collapsed="false">
      <c r="A28" s="5" t="s">
        <v>94</v>
      </c>
      <c r="B28" s="25" t="n">
        <f aca="false">Budget!F51</f>
        <v>90</v>
      </c>
      <c r="C28" s="12" t="n">
        <f aca="false">B28*12/52</f>
        <v>20.7692307692308</v>
      </c>
      <c r="D28" s="25" t="n">
        <f aca="false">Budget!D51*12/52</f>
        <v>35.3076923076923</v>
      </c>
    </row>
    <row r="29" customFormat="false" ht="15" hidden="false" customHeight="false" outlineLevel="0" collapsed="false">
      <c r="A29" s="5" t="s">
        <v>95</v>
      </c>
      <c r="B29" s="25" t="n">
        <f aca="false">Budget!F52</f>
        <v>240</v>
      </c>
      <c r="C29" s="12" t="n">
        <f aca="false">B29*12/52</f>
        <v>55.3846153846154</v>
      </c>
      <c r="D29" s="25" t="n">
        <f aca="false">Budget!D52*12/52</f>
        <v>55.3846153846154</v>
      </c>
    </row>
    <row r="30" customFormat="false" ht="15" hidden="false" customHeight="false" outlineLevel="0" collapsed="false">
      <c r="A30" s="5" t="s">
        <v>97</v>
      </c>
      <c r="B30" s="25" t="n">
        <f aca="false">Budget!F53</f>
        <v>75</v>
      </c>
      <c r="C30" s="12" t="n">
        <f aca="false">B30*12/52</f>
        <v>17.3076923076923</v>
      </c>
      <c r="D30" s="25" t="n">
        <f aca="false">Budget!D53*12/52</f>
        <v>8.76923076923077</v>
      </c>
    </row>
    <row r="31" customFormat="false" ht="15" hidden="false" customHeight="false" outlineLevel="0" collapsed="false">
      <c r="A31" s="5" t="s">
        <v>99</v>
      </c>
      <c r="B31" s="25" t="n">
        <f aca="false">Budget!F54</f>
        <v>115</v>
      </c>
      <c r="C31" s="12" t="n">
        <f aca="false">B31*12/52</f>
        <v>26.5384615384615</v>
      </c>
      <c r="D31" s="25" t="n">
        <f aca="false">Budget!D54*12/52</f>
        <v>27</v>
      </c>
    </row>
    <row r="32" customFormat="false" ht="15" hidden="false" customHeight="false" outlineLevel="0" collapsed="false">
      <c r="A32" s="5" t="s">
        <v>100</v>
      </c>
      <c r="B32" s="25" t="n">
        <f aca="false">Budget!F55</f>
        <v>150</v>
      </c>
      <c r="C32" s="12" t="n">
        <f aca="false">B32*12/52</f>
        <v>34.6153846153846</v>
      </c>
      <c r="D32" s="25" t="n">
        <f aca="false">Budget!D55*12/52</f>
        <v>36.6923076923077</v>
      </c>
    </row>
    <row r="33" customFormat="false" ht="15" hidden="false" customHeight="false" outlineLevel="0" collapsed="false">
      <c r="A33" s="15" t="s">
        <v>160</v>
      </c>
      <c r="B33" s="17" t="n">
        <f aca="false">SUM(B16:B32)</f>
        <v>3998</v>
      </c>
      <c r="C33" s="17" t="n">
        <f aca="false">SUM(C16:C32)</f>
        <v>922.615384615385</v>
      </c>
      <c r="D33" s="17" t="n">
        <f aca="false">SUM(D16:D32)</f>
        <v>1111.61538461538</v>
      </c>
    </row>
    <row r="35" customFormat="false" ht="15" hidden="false" customHeight="false" outlineLevel="0" collapsed="false">
      <c r="A35" s="20" t="s">
        <v>161</v>
      </c>
      <c r="B35" s="9" t="n">
        <f aca="false">B12+B33</f>
        <v>7438</v>
      </c>
      <c r="C35" s="9" t="n">
        <f aca="false">C12+C33</f>
        <v>1716.46153846154</v>
      </c>
      <c r="D35" s="9" t="n">
        <f aca="false">D12+D33</f>
        <v>1943.30769230769</v>
      </c>
      <c r="E35" s="2" t="s">
        <v>162</v>
      </c>
    </row>
    <row r="36" customFormat="false" ht="15" hidden="false" customHeight="false" outlineLevel="0" collapsed="false">
      <c r="A36" s="2" t="s">
        <v>163</v>
      </c>
      <c r="B36" s="12" t="n">
        <f aca="false">B35-Budget!F56</f>
        <v>0</v>
      </c>
    </row>
    <row r="38" customFormat="false" ht="15" hidden="false" customHeight="false" outlineLevel="0" collapsed="false">
      <c r="A38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8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23" min="7" style="0" width="13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10" t="s">
        <v>167</v>
      </c>
      <c r="B4" s="10" t="s">
        <v>168</v>
      </c>
      <c r="C4" s="10" t="s">
        <v>169</v>
      </c>
      <c r="E4" s="10" t="s">
        <v>170</v>
      </c>
      <c r="F4" s="10"/>
      <c r="G4" s="10" t="s">
        <v>171</v>
      </c>
    </row>
    <row r="5" customFormat="false" ht="15" hidden="false" customHeight="false" outlineLevel="0" collapsed="false">
      <c r="A5" s="5" t="s">
        <v>172</v>
      </c>
      <c r="B5" s="6" t="n">
        <v>9800.78</v>
      </c>
      <c r="C5" s="2" t="s">
        <v>173</v>
      </c>
      <c r="E5" s="8" t="s">
        <v>174</v>
      </c>
      <c r="G5" s="26" t="n">
        <f aca="false">IFERROR(INDEX(A29:A76,MATCH(1,Q29:Q76,0)),"after Oct-30")</f>
        <v>46508</v>
      </c>
    </row>
    <row r="6" customFormat="false" ht="15" hidden="false" customHeight="false" outlineLevel="0" collapsed="false">
      <c r="A6" s="5" t="s">
        <v>175</v>
      </c>
      <c r="B6" s="27" t="n">
        <v>0.2974</v>
      </c>
      <c r="C6" s="2" t="s">
        <v>176</v>
      </c>
      <c r="E6" s="8" t="s">
        <v>177</v>
      </c>
      <c r="G6" s="26" t="n">
        <f aca="false">IFERROR(INDEX(A29:A76,MATCH(1,R29:R76,0)),"after Oct-30")</f>
        <v>46569</v>
      </c>
    </row>
    <row r="7" customFormat="false" ht="15" hidden="false" customHeight="false" outlineLevel="0" collapsed="false">
      <c r="A7" s="5" t="s">
        <v>178</v>
      </c>
      <c r="B7" s="6" t="n">
        <v>5341.52</v>
      </c>
      <c r="C7" s="2" t="s">
        <v>173</v>
      </c>
      <c r="E7" s="8" t="s">
        <v>179</v>
      </c>
      <c r="G7" s="26" t="n">
        <f aca="false">IFERROR(INDEX(A29:A76,MATCH(1,S29:S76,0)),"after Oct-30")</f>
        <v>46569</v>
      </c>
    </row>
    <row r="8" customFormat="false" ht="15" hidden="false" customHeight="false" outlineLevel="0" collapsed="false">
      <c r="A8" s="5" t="s">
        <v>180</v>
      </c>
      <c r="B8" s="27" t="n">
        <v>0.1749</v>
      </c>
      <c r="C8" s="2" t="s">
        <v>176</v>
      </c>
      <c r="E8" s="8" t="s">
        <v>181</v>
      </c>
      <c r="G8" s="26" t="n">
        <f aca="false">IFERROR(INDEX(A29:A76,MATCH(1,T29:T76,0)),"after Oct-30")</f>
        <v>47027</v>
      </c>
    </row>
    <row r="9" customFormat="false" ht="15" hidden="false" customHeight="false" outlineLevel="0" collapsed="false">
      <c r="A9" s="5" t="s">
        <v>182</v>
      </c>
      <c r="B9" s="27" t="n">
        <v>0.01</v>
      </c>
      <c r="C9" s="2" t="s">
        <v>183</v>
      </c>
      <c r="E9" s="8" t="s">
        <v>184</v>
      </c>
      <c r="G9" s="26" t="n">
        <f aca="false">IFERROR(INDEX(A29:A76,MATCH(1,U29:U76,0)),"after Oct-30")</f>
        <v>47423</v>
      </c>
    </row>
    <row r="10" customFormat="false" ht="15" hidden="false" customHeight="false" outlineLevel="0" collapsed="false">
      <c r="A10" s="5" t="s">
        <v>185</v>
      </c>
      <c r="B10" s="13" t="n">
        <v>12081</v>
      </c>
      <c r="C10" s="2" t="s">
        <v>186</v>
      </c>
      <c r="E10" s="8" t="s">
        <v>187</v>
      </c>
      <c r="G10" s="9" t="n">
        <f aca="false">SUM(F29:F76)+SUM(J29:J76)</f>
        <v>1642.65278795969</v>
      </c>
    </row>
    <row r="11" customFormat="false" ht="15" hidden="false" customHeight="false" outlineLevel="0" collapsed="false">
      <c r="A11" s="5" t="s">
        <v>188</v>
      </c>
      <c r="B11" s="7" t="n">
        <v>6</v>
      </c>
      <c r="C11" s="2" t="s">
        <v>189</v>
      </c>
      <c r="E11" s="8" t="s">
        <v>190</v>
      </c>
      <c r="G11" s="9" t="n">
        <f aca="false">$B$5*$B$6/12+$B$7*$B$8/12</f>
        <v>320.748651666667</v>
      </c>
    </row>
    <row r="12" customFormat="false" ht="15" hidden="false" customHeight="false" outlineLevel="0" collapsed="false">
      <c r="A12" s="5" t="s">
        <v>191</v>
      </c>
      <c r="B12" s="7" t="n">
        <v>1</v>
      </c>
      <c r="C12" s="2" t="s">
        <v>192</v>
      </c>
      <c r="E12" s="2" t="s">
        <v>193</v>
      </c>
    </row>
    <row r="13" customFormat="false" ht="15" hidden="false" customHeight="false" outlineLevel="0" collapsed="false">
      <c r="A13" s="5" t="s">
        <v>194</v>
      </c>
      <c r="B13" s="25" t="n">
        <f aca="false">Budget!F29+Budget!F32+Budget!F37+Budget!F49</f>
        <v>16807</v>
      </c>
      <c r="C13" s="2" t="s">
        <v>195</v>
      </c>
    </row>
    <row r="14" customFormat="false" ht="15" hidden="false" customHeight="false" outlineLevel="0" collapsed="false">
      <c r="A14" s="5" t="s">
        <v>196</v>
      </c>
      <c r="B14" s="25" t="n">
        <f aca="false">Budget!F29+Budget!F56</f>
        <v>22780</v>
      </c>
      <c r="C14" s="2" t="s">
        <v>195</v>
      </c>
    </row>
    <row r="15" customFormat="false" ht="15" hidden="false" customHeight="false" outlineLevel="0" collapsed="false">
      <c r="A15" s="5" t="s">
        <v>197</v>
      </c>
      <c r="B15" s="9" t="n">
        <f aca="false">$B$11*IF($B$12=1,$B$13,$B$14)</f>
        <v>100842</v>
      </c>
      <c r="C15" s="2" t="s">
        <v>198</v>
      </c>
    </row>
    <row r="16" customFormat="false" ht="15" hidden="false" customHeight="false" outlineLevel="0" collapsed="false">
      <c r="A16" s="5" t="s">
        <v>199</v>
      </c>
      <c r="B16" s="13" t="n">
        <v>21681</v>
      </c>
      <c r="C16" s="2" t="s">
        <v>200</v>
      </c>
    </row>
    <row r="17" customFormat="false" ht="15" hidden="false" customHeight="false" outlineLevel="0" collapsed="false">
      <c r="A17" s="5" t="s">
        <v>201</v>
      </c>
      <c r="B17" s="28" t="n">
        <v>0.25</v>
      </c>
      <c r="C17" s="2" t="s">
        <v>202</v>
      </c>
    </row>
    <row r="18" customFormat="false" ht="15" hidden="false" customHeight="false" outlineLevel="0" collapsed="false">
      <c r="A18" s="5" t="s">
        <v>203</v>
      </c>
      <c r="B18" s="12" t="n">
        <f aca="false">$B$16*(1-$B$17)</f>
        <v>16260.75</v>
      </c>
      <c r="C18" s="2" t="s">
        <v>204</v>
      </c>
    </row>
    <row r="19" customFormat="false" ht="15" hidden="false" customHeight="false" outlineLevel="0" collapsed="false">
      <c r="A19" s="5" t="s">
        <v>205</v>
      </c>
      <c r="B19" s="7" t="n">
        <v>3</v>
      </c>
      <c r="C19" s="2" t="s">
        <v>206</v>
      </c>
    </row>
    <row r="20" customFormat="false" ht="15" hidden="false" customHeight="false" outlineLevel="0" collapsed="false">
      <c r="A20" s="5" t="s">
        <v>207</v>
      </c>
      <c r="B20" s="12" t="n">
        <f aca="false">$B$19*$B$13</f>
        <v>50421</v>
      </c>
      <c r="C20" s="2" t="s">
        <v>208</v>
      </c>
    </row>
    <row r="21" customFormat="false" ht="15" hidden="false" customHeight="false" outlineLevel="0" collapsed="false">
      <c r="A21" s="5" t="s">
        <v>209</v>
      </c>
      <c r="B21" s="29" t="n">
        <v>46419</v>
      </c>
      <c r="C21" s="2" t="s">
        <v>210</v>
      </c>
    </row>
    <row r="22" customFormat="false" ht="15" hidden="false" customHeight="false" outlineLevel="0" collapsed="false">
      <c r="A22" s="5" t="s">
        <v>211</v>
      </c>
      <c r="B22" s="13" t="n">
        <v>0</v>
      </c>
      <c r="C22" s="2" t="s">
        <v>212</v>
      </c>
    </row>
    <row r="23" customFormat="false" ht="15" hidden="false" customHeight="false" outlineLevel="0" collapsed="false">
      <c r="A23" s="5" t="s">
        <v>213</v>
      </c>
      <c r="B23" s="29" t="n">
        <v>46447</v>
      </c>
      <c r="C23" s="2"/>
    </row>
    <row r="24" customFormat="false" ht="15" hidden="false" customHeight="false" outlineLevel="0" collapsed="false">
      <c r="A24" s="5" t="s">
        <v>214</v>
      </c>
      <c r="B24" s="29" t="n">
        <v>47119</v>
      </c>
      <c r="C24" s="2" t="s">
        <v>215</v>
      </c>
    </row>
    <row r="25" customFormat="false" ht="15" hidden="false" customHeight="false" outlineLevel="0" collapsed="false">
      <c r="A25" s="5" t="s">
        <v>216</v>
      </c>
      <c r="B25" s="25" t="n">
        <f aca="false">Budget!F16</f>
        <v>342</v>
      </c>
      <c r="C25" s="2" t="s">
        <v>217</v>
      </c>
    </row>
    <row r="28" customFormat="false" ht="42" hidden="false" customHeight="true" outlineLevel="0" collapsed="false">
      <c r="A28" s="10" t="s">
        <v>218</v>
      </c>
      <c r="B28" s="10" t="s">
        <v>219</v>
      </c>
      <c r="C28" s="10" t="s">
        <v>220</v>
      </c>
      <c r="D28" s="10" t="s">
        <v>221</v>
      </c>
      <c r="E28" s="10" t="s">
        <v>222</v>
      </c>
      <c r="F28" s="10" t="s">
        <v>223</v>
      </c>
      <c r="G28" s="10" t="s">
        <v>224</v>
      </c>
      <c r="H28" s="10" t="s">
        <v>225</v>
      </c>
      <c r="I28" s="10" t="s">
        <v>226</v>
      </c>
      <c r="J28" s="10" t="s">
        <v>227</v>
      </c>
      <c r="K28" s="10" t="s">
        <v>228</v>
      </c>
      <c r="L28" s="10" t="s">
        <v>229</v>
      </c>
      <c r="M28" s="10" t="s">
        <v>230</v>
      </c>
      <c r="N28" s="10" t="s">
        <v>231</v>
      </c>
      <c r="O28" s="10" t="s">
        <v>232</v>
      </c>
      <c r="P28" s="10" t="s">
        <v>233</v>
      </c>
      <c r="Q28" s="10" t="s">
        <v>234</v>
      </c>
      <c r="R28" s="10" t="s">
        <v>235</v>
      </c>
      <c r="S28" s="10" t="s">
        <v>236</v>
      </c>
      <c r="T28" s="10" t="s">
        <v>237</v>
      </c>
      <c r="U28" s="10" t="s">
        <v>238</v>
      </c>
      <c r="V28" s="10" t="s">
        <v>239</v>
      </c>
      <c r="W28" s="10" t="s">
        <v>240</v>
      </c>
    </row>
    <row r="29" customFormat="false" ht="15" hidden="false" customHeight="false" outlineLevel="0" collapsed="false">
      <c r="A29" s="30" t="n">
        <v>46327</v>
      </c>
      <c r="B29" s="25" t="n">
        <f aca="false">IF(A29&lt;=$B$21,Budget!$F$70,Budget!$F$71)+IF(A29&gt;$B$24,$B$25,0)</f>
        <v>1426.77666666667</v>
      </c>
      <c r="C29" s="12" t="n">
        <f aca="false">IF(A29=$B$23,$B$22,0)</f>
        <v>0</v>
      </c>
      <c r="D29" s="12" t="n">
        <f aca="false">B29+C29</f>
        <v>1426.77666666667</v>
      </c>
      <c r="E29" s="12" t="n">
        <f aca="false">$B$5</f>
        <v>9800.78</v>
      </c>
      <c r="F29" s="12" t="n">
        <f aca="false">E29*$B$6/12</f>
        <v>242.895997666667</v>
      </c>
      <c r="G29" s="12" t="n">
        <f aca="false">MIN(E29+F29,MAX(D29-K29,0))</f>
        <v>1295.50881266667</v>
      </c>
      <c r="H29" s="12" t="n">
        <f aca="false">E29+F29-G29</f>
        <v>8748.167185</v>
      </c>
      <c r="I29" s="12" t="n">
        <f aca="false">$B$7</f>
        <v>5341.52</v>
      </c>
      <c r="J29" s="12" t="n">
        <f aca="false">I29*$B$8/12</f>
        <v>77.852654</v>
      </c>
      <c r="K29" s="12" t="n">
        <f aca="false">MIN(I29+J29,J29+$B$9*I29)</f>
        <v>131.267854</v>
      </c>
      <c r="L29" s="12" t="n">
        <f aca="false">MIN(I29+J29,D29-G29)</f>
        <v>131.267854</v>
      </c>
      <c r="M29" s="12" t="n">
        <f aca="false">I29+J29-L29</f>
        <v>5288.1048</v>
      </c>
      <c r="N29" s="12" t="n">
        <f aca="false">$B$10</f>
        <v>12081</v>
      </c>
      <c r="O29" s="12" t="n">
        <f aca="false">MIN(MAX(D29-G29-L29,0),MAX($B$15-$B$18-N29,0))</f>
        <v>0</v>
      </c>
      <c r="P29" s="12" t="n">
        <f aca="false">N29+O29</f>
        <v>12081</v>
      </c>
      <c r="Q29" s="5" t="n">
        <f aca="false">IF(H29&lt;=0.005,1,0)</f>
        <v>0</v>
      </c>
      <c r="R29" s="5" t="n">
        <f aca="false">IF(M29&lt;=0.005,1,0)</f>
        <v>0</v>
      </c>
      <c r="S29" s="5" t="n">
        <f aca="false">IF(AND(Q29=1,R29=1),1,0)</f>
        <v>0</v>
      </c>
      <c r="T29" s="5" t="n">
        <f aca="false">IF(P29&gt;=$B$20,1,0)</f>
        <v>0</v>
      </c>
      <c r="U29" s="5" t="n">
        <f aca="false">IF(P29+$B$18&gt;=$B$15-0.5,1,0)</f>
        <v>0</v>
      </c>
      <c r="V29" s="12" t="n">
        <f aca="false">MAX(D29-G29-L29,0)-O29</f>
        <v>0</v>
      </c>
      <c r="W29" s="12" t="n">
        <f aca="false">P29+$B$18</f>
        <v>28341.75</v>
      </c>
    </row>
    <row r="30" customFormat="false" ht="15" hidden="false" customHeight="false" outlineLevel="0" collapsed="false">
      <c r="A30" s="30" t="n">
        <v>46357</v>
      </c>
      <c r="B30" s="25" t="n">
        <f aca="false">IF(A30&lt;=$B$21,Budget!$F$70,Budget!$F$71)+IF(A30&gt;$B$24,$B$25,0)</f>
        <v>1426.77666666667</v>
      </c>
      <c r="C30" s="12" t="n">
        <f aca="false">IF(A30=$B$23,$B$22,0)</f>
        <v>0</v>
      </c>
      <c r="D30" s="12" t="n">
        <f aca="false">B30+C30</f>
        <v>1426.77666666667</v>
      </c>
      <c r="E30" s="12" t="n">
        <f aca="false">H29</f>
        <v>8748.167185</v>
      </c>
      <c r="F30" s="12" t="n">
        <f aca="false">E30*$B$6/12</f>
        <v>216.808743401583</v>
      </c>
      <c r="G30" s="12" t="n">
        <f aca="false">MIN(E30+F30,MAX(D30-K30,0))</f>
        <v>1296.82149120667</v>
      </c>
      <c r="H30" s="12" t="n">
        <f aca="false">E30+F30-G30</f>
        <v>7668.15443719491</v>
      </c>
      <c r="I30" s="12" t="n">
        <f aca="false">M29</f>
        <v>5288.1048</v>
      </c>
      <c r="J30" s="12" t="n">
        <f aca="false">I30*$B$8/12</f>
        <v>77.07412746</v>
      </c>
      <c r="K30" s="12" t="n">
        <f aca="false">MIN(I30+J30,J30+$B$9*I30)</f>
        <v>129.95517546</v>
      </c>
      <c r="L30" s="12" t="n">
        <f aca="false">MIN(I30+J30,D30-G30)</f>
        <v>129.95517546</v>
      </c>
      <c r="M30" s="12" t="n">
        <f aca="false">I30+J30-L30</f>
        <v>5235.223752</v>
      </c>
      <c r="N30" s="12" t="n">
        <f aca="false">P29</f>
        <v>12081</v>
      </c>
      <c r="O30" s="12" t="n">
        <f aca="false">MIN(MAX(D30-G30-L30,0),MAX($B$15-$B$18-N30,0))</f>
        <v>0</v>
      </c>
      <c r="P30" s="12" t="n">
        <f aca="false">N30+O30</f>
        <v>12081</v>
      </c>
      <c r="Q30" s="5" t="n">
        <f aca="false">IF(H30&lt;=0.005,1,0)</f>
        <v>0</v>
      </c>
      <c r="R30" s="5" t="n">
        <f aca="false">IF(M30&lt;=0.005,1,0)</f>
        <v>0</v>
      </c>
      <c r="S30" s="5" t="n">
        <f aca="false">IF(AND(Q30=1,R30=1),1,0)</f>
        <v>0</v>
      </c>
      <c r="T30" s="5" t="n">
        <f aca="false">IF(P30&gt;=$B$20,1,0)</f>
        <v>0</v>
      </c>
      <c r="U30" s="5" t="n">
        <f aca="false">IF(P30+$B$18&gt;=$B$15-0.5,1,0)</f>
        <v>0</v>
      </c>
      <c r="V30" s="12" t="n">
        <f aca="false">MAX(D30-G30-L30,0)-O30</f>
        <v>0</v>
      </c>
      <c r="W30" s="12" t="n">
        <f aca="false">P30+$B$18</f>
        <v>28341.75</v>
      </c>
    </row>
    <row r="31" customFormat="false" ht="15" hidden="false" customHeight="false" outlineLevel="0" collapsed="false">
      <c r="A31" s="30" t="n">
        <v>46388</v>
      </c>
      <c r="B31" s="25" t="n">
        <f aca="false">IF(A31&lt;=$B$21,Budget!$F$70,Budget!$F$71)+IF(A31&gt;$B$24,$B$25,0)</f>
        <v>1426.77666666667</v>
      </c>
      <c r="C31" s="12" t="n">
        <f aca="false">IF(A31=$B$23,$B$22,0)</f>
        <v>0</v>
      </c>
      <c r="D31" s="12" t="n">
        <f aca="false">B31+C31</f>
        <v>1426.77666666667</v>
      </c>
      <c r="E31" s="12" t="n">
        <f aca="false">H30</f>
        <v>7668.15443719491</v>
      </c>
      <c r="F31" s="12" t="n">
        <f aca="false">E31*$B$6/12</f>
        <v>190.042427468481</v>
      </c>
      <c r="G31" s="12" t="n">
        <f aca="false">MIN(E31+F31,MAX(D31-K31,0))</f>
        <v>1298.12104296127</v>
      </c>
      <c r="H31" s="12" t="n">
        <f aca="false">E31+F31-G31</f>
        <v>6560.07582170213</v>
      </c>
      <c r="I31" s="12" t="n">
        <f aca="false">M30</f>
        <v>5235.223752</v>
      </c>
      <c r="J31" s="12" t="n">
        <f aca="false">I31*$B$8/12</f>
        <v>76.3033861854</v>
      </c>
      <c r="K31" s="12" t="n">
        <f aca="false">MIN(I31+J31,J31+$B$9*I31)</f>
        <v>128.6556237054</v>
      </c>
      <c r="L31" s="12" t="n">
        <f aca="false">MIN(I31+J31,D31-G31)</f>
        <v>128.6556237054</v>
      </c>
      <c r="M31" s="12" t="n">
        <f aca="false">I31+J31-L31</f>
        <v>5182.87151448</v>
      </c>
      <c r="N31" s="12" t="n">
        <f aca="false">P30</f>
        <v>12081</v>
      </c>
      <c r="O31" s="12" t="n">
        <f aca="false">MIN(MAX(D31-G31-L31,0),MAX($B$15-$B$18-N31,0))</f>
        <v>0</v>
      </c>
      <c r="P31" s="12" t="n">
        <f aca="false">N31+O31</f>
        <v>12081</v>
      </c>
      <c r="Q31" s="5" t="n">
        <f aca="false">IF(H31&lt;=0.005,1,0)</f>
        <v>0</v>
      </c>
      <c r="R31" s="5" t="n">
        <f aca="false">IF(M31&lt;=0.005,1,0)</f>
        <v>0</v>
      </c>
      <c r="S31" s="5" t="n">
        <f aca="false">IF(AND(Q31=1,R31=1),1,0)</f>
        <v>0</v>
      </c>
      <c r="T31" s="5" t="n">
        <f aca="false">IF(P31&gt;=$B$20,1,0)</f>
        <v>0</v>
      </c>
      <c r="U31" s="5" t="n">
        <f aca="false">IF(P31+$B$18&gt;=$B$15-0.5,1,0)</f>
        <v>0</v>
      </c>
      <c r="V31" s="12" t="n">
        <f aca="false">MAX(D31-G31-L31,0)-O31</f>
        <v>0</v>
      </c>
      <c r="W31" s="12" t="n">
        <f aca="false">P31+$B$18</f>
        <v>28341.75</v>
      </c>
    </row>
    <row r="32" customFormat="false" ht="15" hidden="false" customHeight="false" outlineLevel="0" collapsed="false">
      <c r="A32" s="30" t="n">
        <v>46419</v>
      </c>
      <c r="B32" s="25" t="n">
        <f aca="false">IF(A32&lt;=$B$21,Budget!$F$70,Budget!$F$71)+IF(A32&gt;$B$24,$B$25,0)</f>
        <v>1426.77666666667</v>
      </c>
      <c r="C32" s="12" t="n">
        <f aca="false">IF(A32=$B$23,$B$22,0)</f>
        <v>0</v>
      </c>
      <c r="D32" s="12" t="n">
        <f aca="false">B32+C32</f>
        <v>1426.77666666667</v>
      </c>
      <c r="E32" s="12" t="n">
        <f aca="false">H31</f>
        <v>6560.07582170213</v>
      </c>
      <c r="F32" s="12" t="n">
        <f aca="false">E32*$B$6/12</f>
        <v>162.580545781184</v>
      </c>
      <c r="G32" s="12" t="n">
        <f aca="false">MIN(E32+F32,MAX(D32-K32,0))</f>
        <v>1299.40759919832</v>
      </c>
      <c r="H32" s="12" t="n">
        <f aca="false">E32+F32-G32</f>
        <v>5423.24876828499</v>
      </c>
      <c r="I32" s="12" t="n">
        <f aca="false">M31</f>
        <v>5182.87151448</v>
      </c>
      <c r="J32" s="12" t="n">
        <f aca="false">I32*$B$8/12</f>
        <v>75.540352323546</v>
      </c>
      <c r="K32" s="12" t="n">
        <f aca="false">MIN(I32+J32,J32+$B$9*I32)</f>
        <v>127.369067468346</v>
      </c>
      <c r="L32" s="12" t="n">
        <f aca="false">MIN(I32+J32,D32-G32)</f>
        <v>127.369067468346</v>
      </c>
      <c r="M32" s="12" t="n">
        <f aca="false">I32+J32-L32</f>
        <v>5131.0427993352</v>
      </c>
      <c r="N32" s="12" t="n">
        <f aca="false">P31</f>
        <v>12081</v>
      </c>
      <c r="O32" s="12" t="n">
        <f aca="false">MIN(MAX(D32-G32-L32,0),MAX($B$15-$B$18-N32,0))</f>
        <v>0</v>
      </c>
      <c r="P32" s="12" t="n">
        <f aca="false">N32+O32</f>
        <v>12081</v>
      </c>
      <c r="Q32" s="5" t="n">
        <f aca="false">IF(H32&lt;=0.005,1,0)</f>
        <v>0</v>
      </c>
      <c r="R32" s="5" t="n">
        <f aca="false">IF(M32&lt;=0.005,1,0)</f>
        <v>0</v>
      </c>
      <c r="S32" s="5" t="n">
        <f aca="false">IF(AND(Q32=1,R32=1),1,0)</f>
        <v>0</v>
      </c>
      <c r="T32" s="5" t="n">
        <f aca="false">IF(P32&gt;=$B$20,1,0)</f>
        <v>0</v>
      </c>
      <c r="U32" s="5" t="n">
        <f aca="false">IF(P32+$B$18&gt;=$B$15-0.5,1,0)</f>
        <v>0</v>
      </c>
      <c r="V32" s="12" t="n">
        <f aca="false">MAX(D32-G32-L32,0)-O32</f>
        <v>0</v>
      </c>
      <c r="W32" s="12" t="n">
        <f aca="false">P32+$B$18</f>
        <v>28341.75</v>
      </c>
    </row>
    <row r="33" customFormat="false" ht="15" hidden="false" customHeight="false" outlineLevel="0" collapsed="false">
      <c r="A33" s="30" t="n">
        <v>46447</v>
      </c>
      <c r="B33" s="25" t="n">
        <f aca="false">IF(A33&lt;=$B$21,Budget!$F$70,Budget!$F$71)+IF(A33&gt;$B$24,$B$25,0)</f>
        <v>2503.02666666667</v>
      </c>
      <c r="C33" s="12" t="n">
        <f aca="false">IF(A33=$B$23,$B$22,0)</f>
        <v>0</v>
      </c>
      <c r="D33" s="12" t="n">
        <f aca="false">B33+C33</f>
        <v>2503.02666666667</v>
      </c>
      <c r="E33" s="12" t="n">
        <f aca="false">H32</f>
        <v>5423.24876828499</v>
      </c>
      <c r="F33" s="12" t="n">
        <f aca="false">E33*$B$6/12</f>
        <v>134.406181973996</v>
      </c>
      <c r="G33" s="12" t="n">
        <f aca="false">MIN(E33+F33,MAX(D33-K33,0))</f>
        <v>2376.93128987301</v>
      </c>
      <c r="H33" s="12" t="n">
        <f aca="false">E33+F33-G33</f>
        <v>3180.72366038598</v>
      </c>
      <c r="I33" s="12" t="n">
        <f aca="false">M32</f>
        <v>5131.0427993352</v>
      </c>
      <c r="J33" s="12" t="n">
        <f aca="false">I33*$B$8/12</f>
        <v>74.7849488003106</v>
      </c>
      <c r="K33" s="12" t="n">
        <f aca="false">MIN(I33+J33,J33+$B$9*I33)</f>
        <v>126.095376793663</v>
      </c>
      <c r="L33" s="12" t="n">
        <f aca="false">MIN(I33+J33,D33-G33)</f>
        <v>126.095376793663</v>
      </c>
      <c r="M33" s="12" t="n">
        <f aca="false">I33+J33-L33</f>
        <v>5079.73237134185</v>
      </c>
      <c r="N33" s="12" t="n">
        <f aca="false">P32</f>
        <v>12081</v>
      </c>
      <c r="O33" s="12" t="n">
        <f aca="false">MIN(MAX(D33-G33-L33,0),MAX($B$15-$B$18-N33,0))</f>
        <v>0</v>
      </c>
      <c r="P33" s="12" t="n">
        <f aca="false">N33+O33</f>
        <v>12081</v>
      </c>
      <c r="Q33" s="5" t="n">
        <f aca="false">IF(H33&lt;=0.005,1,0)</f>
        <v>0</v>
      </c>
      <c r="R33" s="5" t="n">
        <f aca="false">IF(M33&lt;=0.005,1,0)</f>
        <v>0</v>
      </c>
      <c r="S33" s="5" t="n">
        <f aca="false">IF(AND(Q33=1,R33=1),1,0)</f>
        <v>0</v>
      </c>
      <c r="T33" s="5" t="n">
        <f aca="false">IF(P33&gt;=$B$20,1,0)</f>
        <v>0</v>
      </c>
      <c r="U33" s="5" t="n">
        <f aca="false">IF(P33+$B$18&gt;=$B$15-0.5,1,0)</f>
        <v>0</v>
      </c>
      <c r="V33" s="12" t="n">
        <f aca="false">MAX(D33-G33-L33,0)-O33</f>
        <v>0</v>
      </c>
      <c r="W33" s="12" t="n">
        <f aca="false">P33+$B$18</f>
        <v>28341.75</v>
      </c>
    </row>
    <row r="34" customFormat="false" ht="15" hidden="false" customHeight="false" outlineLevel="0" collapsed="false">
      <c r="A34" s="30" t="n">
        <v>46478</v>
      </c>
      <c r="B34" s="25" t="n">
        <f aca="false">IF(A34&lt;=$B$21,Budget!$F$70,Budget!$F$71)+IF(A34&gt;$B$24,$B$25,0)</f>
        <v>2503.02666666667</v>
      </c>
      <c r="C34" s="12" t="n">
        <f aca="false">IF(A34=$B$23,$B$22,0)</f>
        <v>0</v>
      </c>
      <c r="D34" s="12" t="n">
        <f aca="false">B34+C34</f>
        <v>2503.02666666667</v>
      </c>
      <c r="E34" s="12" t="n">
        <f aca="false">H33</f>
        <v>3180.72366038598</v>
      </c>
      <c r="F34" s="12" t="n">
        <f aca="false">E34*$B$6/12</f>
        <v>78.8289347165658</v>
      </c>
      <c r="G34" s="12" t="n">
        <f aca="false">MIN(E34+F34,MAX(D34-K34,0))</f>
        <v>2378.19224364094</v>
      </c>
      <c r="H34" s="12" t="n">
        <f aca="false">E34+F34-G34</f>
        <v>881.360351461602</v>
      </c>
      <c r="I34" s="12" t="n">
        <f aca="false">M33</f>
        <v>5079.73237134185</v>
      </c>
      <c r="J34" s="12" t="n">
        <f aca="false">I34*$B$8/12</f>
        <v>74.0370993123075</v>
      </c>
      <c r="K34" s="12" t="n">
        <f aca="false">MIN(I34+J34,J34+$B$9*I34)</f>
        <v>124.834423025726</v>
      </c>
      <c r="L34" s="12" t="n">
        <f aca="false">MIN(I34+J34,D34-G34)</f>
        <v>124.834423025726</v>
      </c>
      <c r="M34" s="12" t="n">
        <f aca="false">I34+J34-L34</f>
        <v>5028.93504762843</v>
      </c>
      <c r="N34" s="12" t="n">
        <f aca="false">P33</f>
        <v>12081</v>
      </c>
      <c r="O34" s="12" t="n">
        <f aca="false">MIN(MAX(D34-G34-L34,0),MAX($B$15-$B$18-N34,0))</f>
        <v>0</v>
      </c>
      <c r="P34" s="12" t="n">
        <f aca="false">N34+O34</f>
        <v>12081</v>
      </c>
      <c r="Q34" s="5" t="n">
        <f aca="false">IF(H34&lt;=0.005,1,0)</f>
        <v>0</v>
      </c>
      <c r="R34" s="5" t="n">
        <f aca="false">IF(M34&lt;=0.005,1,0)</f>
        <v>0</v>
      </c>
      <c r="S34" s="5" t="n">
        <f aca="false">IF(AND(Q34=1,R34=1),1,0)</f>
        <v>0</v>
      </c>
      <c r="T34" s="5" t="n">
        <f aca="false">IF(P34&gt;=$B$20,1,0)</f>
        <v>0</v>
      </c>
      <c r="U34" s="5" t="n">
        <f aca="false">IF(P34+$B$18&gt;=$B$15-0.5,1,0)</f>
        <v>0</v>
      </c>
      <c r="V34" s="12" t="n">
        <f aca="false">MAX(D34-G34-L34,0)-O34</f>
        <v>0</v>
      </c>
      <c r="W34" s="12" t="n">
        <f aca="false">P34+$B$18</f>
        <v>28341.75</v>
      </c>
    </row>
    <row r="35" customFormat="false" ht="15" hidden="false" customHeight="false" outlineLevel="0" collapsed="false">
      <c r="A35" s="30" t="n">
        <v>46508</v>
      </c>
      <c r="B35" s="25" t="n">
        <f aca="false">IF(A35&lt;=$B$21,Budget!$F$70,Budget!$F$71)+IF(A35&gt;$B$24,$B$25,0)</f>
        <v>2503.02666666667</v>
      </c>
      <c r="C35" s="12" t="n">
        <f aca="false">IF(A35=$B$23,$B$22,0)</f>
        <v>0</v>
      </c>
      <c r="D35" s="12" t="n">
        <f aca="false">B35+C35</f>
        <v>2503.02666666667</v>
      </c>
      <c r="E35" s="12" t="n">
        <f aca="false">H34</f>
        <v>881.360351461602</v>
      </c>
      <c r="F35" s="12" t="n">
        <f aca="false">E35*$B$6/12</f>
        <v>21.8430473770567</v>
      </c>
      <c r="G35" s="12" t="n">
        <f aca="false">MIN(E35+F35,MAX(D35-K35,0))</f>
        <v>903.203398838658</v>
      </c>
      <c r="H35" s="12" t="n">
        <f aca="false">E35+F35-G35</f>
        <v>0</v>
      </c>
      <c r="I35" s="12" t="n">
        <f aca="false">M34</f>
        <v>5028.93504762843</v>
      </c>
      <c r="J35" s="12" t="n">
        <f aca="false">I35*$B$8/12</f>
        <v>73.2967283191844</v>
      </c>
      <c r="K35" s="12" t="n">
        <f aca="false">MIN(I35+J35,J35+$B$9*I35)</f>
        <v>123.586078795469</v>
      </c>
      <c r="L35" s="12" t="n">
        <f aca="false">MIN(I35+J35,D35-G35)</f>
        <v>1599.82326782801</v>
      </c>
      <c r="M35" s="12" t="n">
        <f aca="false">I35+J35-L35</f>
        <v>3502.40850811961</v>
      </c>
      <c r="N35" s="12" t="n">
        <f aca="false">P34</f>
        <v>12081</v>
      </c>
      <c r="O35" s="12" t="n">
        <f aca="false">MIN(MAX(D35-G35-L35,0),MAX($B$15-$B$18-N35,0))</f>
        <v>0</v>
      </c>
      <c r="P35" s="12" t="n">
        <f aca="false">N35+O35</f>
        <v>12081</v>
      </c>
      <c r="Q35" s="5" t="n">
        <f aca="false">IF(H35&lt;=0.005,1,0)</f>
        <v>1</v>
      </c>
      <c r="R35" s="5" t="n">
        <f aca="false">IF(M35&lt;=0.005,1,0)</f>
        <v>0</v>
      </c>
      <c r="S35" s="5" t="n">
        <f aca="false">IF(AND(Q35=1,R35=1),1,0)</f>
        <v>0</v>
      </c>
      <c r="T35" s="5" t="n">
        <f aca="false">IF(P35&gt;=$B$20,1,0)</f>
        <v>0</v>
      </c>
      <c r="U35" s="5" t="n">
        <f aca="false">IF(P35+$B$18&gt;=$B$15-0.5,1,0)</f>
        <v>0</v>
      </c>
      <c r="V35" s="12" t="n">
        <f aca="false">MAX(D35-G35-L35,0)-O35</f>
        <v>0</v>
      </c>
      <c r="W35" s="12" t="n">
        <f aca="false">P35+$B$18</f>
        <v>28341.75</v>
      </c>
    </row>
    <row r="36" customFormat="false" ht="15" hidden="false" customHeight="false" outlineLevel="0" collapsed="false">
      <c r="A36" s="30" t="n">
        <v>46539</v>
      </c>
      <c r="B36" s="25" t="n">
        <f aca="false">IF(A36&lt;=$B$21,Budget!$F$70,Budget!$F$71)+IF(A36&gt;$B$24,$B$25,0)</f>
        <v>2503.02666666667</v>
      </c>
      <c r="C36" s="12" t="n">
        <f aca="false">IF(A36=$B$23,$B$22,0)</f>
        <v>0</v>
      </c>
      <c r="D36" s="12" t="n">
        <f aca="false">B36+C36</f>
        <v>2503.02666666667</v>
      </c>
      <c r="E36" s="12" t="n">
        <f aca="false">H35</f>
        <v>0</v>
      </c>
      <c r="F36" s="12" t="n">
        <f aca="false">E36*$B$6/12</f>
        <v>0</v>
      </c>
      <c r="G36" s="12" t="n">
        <f aca="false">MIN(E36+F36,MAX(D36-K36,0))</f>
        <v>0</v>
      </c>
      <c r="H36" s="12" t="n">
        <f aca="false">E36+F36-G36</f>
        <v>0</v>
      </c>
      <c r="I36" s="12" t="n">
        <f aca="false">M35</f>
        <v>3502.40850811961</v>
      </c>
      <c r="J36" s="12" t="n">
        <f aca="false">I36*$B$8/12</f>
        <v>51.0476040058433</v>
      </c>
      <c r="K36" s="12" t="n">
        <f aca="false">MIN(I36+J36,J36+$B$9*I36)</f>
        <v>86.0716890870394</v>
      </c>
      <c r="L36" s="12" t="n">
        <f aca="false">MIN(I36+J36,D36-G36)</f>
        <v>2503.02666666667</v>
      </c>
      <c r="M36" s="12" t="n">
        <f aca="false">I36+J36-L36</f>
        <v>1050.42944545878</v>
      </c>
      <c r="N36" s="12" t="n">
        <f aca="false">P35</f>
        <v>12081</v>
      </c>
      <c r="O36" s="12" t="n">
        <f aca="false">MIN(MAX(D36-G36-L36,0),MAX($B$15-$B$18-N36,0))</f>
        <v>0</v>
      </c>
      <c r="P36" s="12" t="n">
        <f aca="false">N36+O36</f>
        <v>12081</v>
      </c>
      <c r="Q36" s="5" t="n">
        <f aca="false">IF(H36&lt;=0.005,1,0)</f>
        <v>1</v>
      </c>
      <c r="R36" s="5" t="n">
        <f aca="false">IF(M36&lt;=0.005,1,0)</f>
        <v>0</v>
      </c>
      <c r="S36" s="5" t="n">
        <f aca="false">IF(AND(Q36=1,R36=1),1,0)</f>
        <v>0</v>
      </c>
      <c r="T36" s="5" t="n">
        <f aca="false">IF(P36&gt;=$B$20,1,0)</f>
        <v>0</v>
      </c>
      <c r="U36" s="5" t="n">
        <f aca="false">IF(P36+$B$18&gt;=$B$15-0.5,1,0)</f>
        <v>0</v>
      </c>
      <c r="V36" s="12" t="n">
        <f aca="false">MAX(D36-G36-L36,0)-O36</f>
        <v>0</v>
      </c>
      <c r="W36" s="12" t="n">
        <f aca="false">P36+$B$18</f>
        <v>28341.75</v>
      </c>
    </row>
    <row r="37" customFormat="false" ht="15" hidden="false" customHeight="false" outlineLevel="0" collapsed="false">
      <c r="A37" s="30" t="n">
        <v>46569</v>
      </c>
      <c r="B37" s="25" t="n">
        <f aca="false">IF(A37&lt;=$B$21,Budget!$F$70,Budget!$F$71)+IF(A37&gt;$B$24,$B$25,0)</f>
        <v>2503.02666666667</v>
      </c>
      <c r="C37" s="12" t="n">
        <f aca="false">IF(A37=$B$23,$B$22,0)</f>
        <v>0</v>
      </c>
      <c r="D37" s="12" t="n">
        <f aca="false">B37+C37</f>
        <v>2503.02666666667</v>
      </c>
      <c r="E37" s="12" t="n">
        <f aca="false">H36</f>
        <v>0</v>
      </c>
      <c r="F37" s="12" t="n">
        <f aca="false">E37*$B$6/12</f>
        <v>0</v>
      </c>
      <c r="G37" s="12" t="n">
        <f aca="false">MIN(E37+F37,MAX(D37-K37,0))</f>
        <v>0</v>
      </c>
      <c r="H37" s="12" t="n">
        <f aca="false">E37+F37-G37</f>
        <v>0</v>
      </c>
      <c r="I37" s="12" t="n">
        <f aca="false">M36</f>
        <v>1050.42944545878</v>
      </c>
      <c r="J37" s="12" t="n">
        <f aca="false">I37*$B$8/12</f>
        <v>15.3100091675618</v>
      </c>
      <c r="K37" s="12" t="n">
        <f aca="false">MIN(I37+J37,J37+$B$9*I37)</f>
        <v>25.8143036221496</v>
      </c>
      <c r="L37" s="12" t="n">
        <f aca="false">MIN(I37+J37,D37-G37)</f>
        <v>1065.73945462634</v>
      </c>
      <c r="M37" s="12" t="n">
        <f aca="false">I37+J37-L37</f>
        <v>0</v>
      </c>
      <c r="N37" s="12" t="n">
        <f aca="false">P36</f>
        <v>12081</v>
      </c>
      <c r="O37" s="12" t="n">
        <f aca="false">MIN(MAX(D37-G37-L37,0),MAX($B$15-$B$18-N37,0))</f>
        <v>1437.28721204032</v>
      </c>
      <c r="P37" s="12" t="n">
        <f aca="false">N37+O37</f>
        <v>13518.2872120403</v>
      </c>
      <c r="Q37" s="5" t="n">
        <f aca="false">IF(H37&lt;=0.005,1,0)</f>
        <v>1</v>
      </c>
      <c r="R37" s="5" t="n">
        <f aca="false">IF(M37&lt;=0.005,1,0)</f>
        <v>1</v>
      </c>
      <c r="S37" s="5" t="n">
        <f aca="false">IF(AND(Q37=1,R37=1),1,0)</f>
        <v>1</v>
      </c>
      <c r="T37" s="5" t="n">
        <f aca="false">IF(P37&gt;=$B$20,1,0)</f>
        <v>0</v>
      </c>
      <c r="U37" s="5" t="n">
        <f aca="false">IF(P37+$B$18&gt;=$B$15-0.5,1,0)</f>
        <v>0</v>
      </c>
      <c r="V37" s="12" t="n">
        <f aca="false">MAX(D37-G37-L37,0)-O37</f>
        <v>0</v>
      </c>
      <c r="W37" s="12" t="n">
        <f aca="false">P37+$B$18</f>
        <v>29779.0372120403</v>
      </c>
    </row>
    <row r="38" customFormat="false" ht="15" hidden="false" customHeight="false" outlineLevel="0" collapsed="false">
      <c r="A38" s="30" t="n">
        <v>46600</v>
      </c>
      <c r="B38" s="25" t="n">
        <f aca="false">IF(A38&lt;=$B$21,Budget!$F$70,Budget!$F$71)+IF(A38&gt;$B$24,$B$25,0)</f>
        <v>2503.02666666667</v>
      </c>
      <c r="C38" s="12" t="n">
        <f aca="false">IF(A38=$B$23,$B$22,0)</f>
        <v>0</v>
      </c>
      <c r="D38" s="12" t="n">
        <f aca="false">B38+C38</f>
        <v>2503.02666666667</v>
      </c>
      <c r="E38" s="12" t="n">
        <f aca="false">H37</f>
        <v>0</v>
      </c>
      <c r="F38" s="12" t="n">
        <f aca="false">E38*$B$6/12</f>
        <v>0</v>
      </c>
      <c r="G38" s="12" t="n">
        <f aca="false">MIN(E38+F38,MAX(D38-K38,0))</f>
        <v>0</v>
      </c>
      <c r="H38" s="12" t="n">
        <f aca="false">E38+F38-G38</f>
        <v>0</v>
      </c>
      <c r="I38" s="12" t="n">
        <f aca="false">M37</f>
        <v>0</v>
      </c>
      <c r="J38" s="12" t="n">
        <f aca="false">I38*$B$8/12</f>
        <v>0</v>
      </c>
      <c r="K38" s="12" t="n">
        <f aca="false">MIN(I38+J38,J38+$B$9*I38)</f>
        <v>0</v>
      </c>
      <c r="L38" s="12" t="n">
        <f aca="false">MIN(I38+J38,D38-G38)</f>
        <v>0</v>
      </c>
      <c r="M38" s="12" t="n">
        <f aca="false">I38+J38-L38</f>
        <v>0</v>
      </c>
      <c r="N38" s="12" t="n">
        <f aca="false">P37</f>
        <v>13518.2872120403</v>
      </c>
      <c r="O38" s="12" t="n">
        <f aca="false">MIN(MAX(D38-G38-L38,0),MAX($B$15-$B$18-N38,0))</f>
        <v>2503.02666666667</v>
      </c>
      <c r="P38" s="12" t="n">
        <f aca="false">N38+O38</f>
        <v>16021.313878707</v>
      </c>
      <c r="Q38" s="5" t="n">
        <f aca="false">IF(H38&lt;=0.005,1,0)</f>
        <v>1</v>
      </c>
      <c r="R38" s="5" t="n">
        <f aca="false">IF(M38&lt;=0.005,1,0)</f>
        <v>1</v>
      </c>
      <c r="S38" s="5" t="n">
        <f aca="false">IF(AND(Q38=1,R38=1),1,0)</f>
        <v>1</v>
      </c>
      <c r="T38" s="5" t="n">
        <f aca="false">IF(P38&gt;=$B$20,1,0)</f>
        <v>0</v>
      </c>
      <c r="U38" s="5" t="n">
        <f aca="false">IF(P38+$B$18&gt;=$B$15-0.5,1,0)</f>
        <v>0</v>
      </c>
      <c r="V38" s="12" t="n">
        <f aca="false">MAX(D38-G38-L38,0)-O38</f>
        <v>0</v>
      </c>
      <c r="W38" s="12" t="n">
        <f aca="false">P38+$B$18</f>
        <v>32282.063878707</v>
      </c>
    </row>
    <row r="39" customFormat="false" ht="15" hidden="false" customHeight="false" outlineLevel="0" collapsed="false">
      <c r="A39" s="30" t="n">
        <v>46631</v>
      </c>
      <c r="B39" s="25" t="n">
        <f aca="false">IF(A39&lt;=$B$21,Budget!$F$70,Budget!$F$71)+IF(A39&gt;$B$24,$B$25,0)</f>
        <v>2503.02666666667</v>
      </c>
      <c r="C39" s="12" t="n">
        <f aca="false">IF(A39=$B$23,$B$22,0)</f>
        <v>0</v>
      </c>
      <c r="D39" s="12" t="n">
        <f aca="false">B39+C39</f>
        <v>2503.02666666667</v>
      </c>
      <c r="E39" s="12" t="n">
        <f aca="false">H38</f>
        <v>0</v>
      </c>
      <c r="F39" s="12" t="n">
        <f aca="false">E39*$B$6/12</f>
        <v>0</v>
      </c>
      <c r="G39" s="12" t="n">
        <f aca="false">MIN(E39+F39,MAX(D39-K39,0))</f>
        <v>0</v>
      </c>
      <c r="H39" s="12" t="n">
        <f aca="false">E39+F39-G39</f>
        <v>0</v>
      </c>
      <c r="I39" s="12" t="n">
        <f aca="false">M38</f>
        <v>0</v>
      </c>
      <c r="J39" s="12" t="n">
        <f aca="false">I39*$B$8/12</f>
        <v>0</v>
      </c>
      <c r="K39" s="12" t="n">
        <f aca="false">MIN(I39+J39,J39+$B$9*I39)</f>
        <v>0</v>
      </c>
      <c r="L39" s="12" t="n">
        <f aca="false">MIN(I39+J39,D39-G39)</f>
        <v>0</v>
      </c>
      <c r="M39" s="12" t="n">
        <f aca="false">I39+J39-L39</f>
        <v>0</v>
      </c>
      <c r="N39" s="12" t="n">
        <f aca="false">P38</f>
        <v>16021.313878707</v>
      </c>
      <c r="O39" s="12" t="n">
        <f aca="false">MIN(MAX(D39-G39-L39,0),MAX($B$15-$B$18-N39,0))</f>
        <v>2503.02666666667</v>
      </c>
      <c r="P39" s="12" t="n">
        <f aca="false">N39+O39</f>
        <v>18524.3405453737</v>
      </c>
      <c r="Q39" s="5" t="n">
        <f aca="false">IF(H39&lt;=0.005,1,0)</f>
        <v>1</v>
      </c>
      <c r="R39" s="5" t="n">
        <f aca="false">IF(M39&lt;=0.005,1,0)</f>
        <v>1</v>
      </c>
      <c r="S39" s="5" t="n">
        <f aca="false">IF(AND(Q39=1,R39=1),1,0)</f>
        <v>1</v>
      </c>
      <c r="T39" s="5" t="n">
        <f aca="false">IF(P39&gt;=$B$20,1,0)</f>
        <v>0</v>
      </c>
      <c r="U39" s="5" t="n">
        <f aca="false">IF(P39+$B$18&gt;=$B$15-0.5,1,0)</f>
        <v>0</v>
      </c>
      <c r="V39" s="12" t="n">
        <f aca="false">MAX(D39-G39-L39,0)-O39</f>
        <v>0</v>
      </c>
      <c r="W39" s="12" t="n">
        <f aca="false">P39+$B$18</f>
        <v>34785.0905453737</v>
      </c>
    </row>
    <row r="40" customFormat="false" ht="15" hidden="false" customHeight="false" outlineLevel="0" collapsed="false">
      <c r="A40" s="30" t="n">
        <v>46661</v>
      </c>
      <c r="B40" s="25" t="n">
        <f aca="false">IF(A40&lt;=$B$21,Budget!$F$70,Budget!$F$71)+IF(A40&gt;$B$24,$B$25,0)</f>
        <v>2503.02666666667</v>
      </c>
      <c r="C40" s="12" t="n">
        <f aca="false">IF(A40=$B$23,$B$22,0)</f>
        <v>0</v>
      </c>
      <c r="D40" s="12" t="n">
        <f aca="false">B40+C40</f>
        <v>2503.02666666667</v>
      </c>
      <c r="E40" s="12" t="n">
        <f aca="false">H39</f>
        <v>0</v>
      </c>
      <c r="F40" s="12" t="n">
        <f aca="false">E40*$B$6/12</f>
        <v>0</v>
      </c>
      <c r="G40" s="12" t="n">
        <f aca="false">MIN(E40+F40,MAX(D40-K40,0))</f>
        <v>0</v>
      </c>
      <c r="H40" s="12" t="n">
        <f aca="false">E40+F40-G40</f>
        <v>0</v>
      </c>
      <c r="I40" s="12" t="n">
        <f aca="false">M39</f>
        <v>0</v>
      </c>
      <c r="J40" s="12" t="n">
        <f aca="false">I40*$B$8/12</f>
        <v>0</v>
      </c>
      <c r="K40" s="12" t="n">
        <f aca="false">MIN(I40+J40,J40+$B$9*I40)</f>
        <v>0</v>
      </c>
      <c r="L40" s="12" t="n">
        <f aca="false">MIN(I40+J40,D40-G40)</f>
        <v>0</v>
      </c>
      <c r="M40" s="12" t="n">
        <f aca="false">I40+J40-L40</f>
        <v>0</v>
      </c>
      <c r="N40" s="12" t="n">
        <f aca="false">P39</f>
        <v>18524.3405453737</v>
      </c>
      <c r="O40" s="12" t="n">
        <f aca="false">MIN(MAX(D40-G40-L40,0),MAX($B$15-$B$18-N40,0))</f>
        <v>2503.02666666667</v>
      </c>
      <c r="P40" s="12" t="n">
        <f aca="false">N40+O40</f>
        <v>21027.3672120403</v>
      </c>
      <c r="Q40" s="5" t="n">
        <f aca="false">IF(H40&lt;=0.005,1,0)</f>
        <v>1</v>
      </c>
      <c r="R40" s="5" t="n">
        <f aca="false">IF(M40&lt;=0.005,1,0)</f>
        <v>1</v>
      </c>
      <c r="S40" s="5" t="n">
        <f aca="false">IF(AND(Q40=1,R40=1),1,0)</f>
        <v>1</v>
      </c>
      <c r="T40" s="5" t="n">
        <f aca="false">IF(P40&gt;=$B$20,1,0)</f>
        <v>0</v>
      </c>
      <c r="U40" s="5" t="n">
        <f aca="false">IF(P40+$B$18&gt;=$B$15-0.5,1,0)</f>
        <v>0</v>
      </c>
      <c r="V40" s="12" t="n">
        <f aca="false">MAX(D40-G40-L40,0)-O40</f>
        <v>0</v>
      </c>
      <c r="W40" s="12" t="n">
        <f aca="false">P40+$B$18</f>
        <v>37288.1172120403</v>
      </c>
    </row>
    <row r="41" customFormat="false" ht="15" hidden="false" customHeight="false" outlineLevel="0" collapsed="false">
      <c r="A41" s="30" t="n">
        <v>46692</v>
      </c>
      <c r="B41" s="25" t="n">
        <f aca="false">IF(A41&lt;=$B$21,Budget!$F$70,Budget!$F$71)+IF(A41&gt;$B$24,$B$25,0)</f>
        <v>2503.02666666667</v>
      </c>
      <c r="C41" s="12" t="n">
        <f aca="false">IF(A41=$B$23,$B$22,0)</f>
        <v>0</v>
      </c>
      <c r="D41" s="12" t="n">
        <f aca="false">B41+C41</f>
        <v>2503.02666666667</v>
      </c>
      <c r="E41" s="12" t="n">
        <f aca="false">H40</f>
        <v>0</v>
      </c>
      <c r="F41" s="12" t="n">
        <f aca="false">E41*$B$6/12</f>
        <v>0</v>
      </c>
      <c r="G41" s="12" t="n">
        <f aca="false">MIN(E41+F41,MAX(D41-K41,0))</f>
        <v>0</v>
      </c>
      <c r="H41" s="12" t="n">
        <f aca="false">E41+F41-G41</f>
        <v>0</v>
      </c>
      <c r="I41" s="12" t="n">
        <f aca="false">M40</f>
        <v>0</v>
      </c>
      <c r="J41" s="12" t="n">
        <f aca="false">I41*$B$8/12</f>
        <v>0</v>
      </c>
      <c r="K41" s="12" t="n">
        <f aca="false">MIN(I41+J41,J41+$B$9*I41)</f>
        <v>0</v>
      </c>
      <c r="L41" s="12" t="n">
        <f aca="false">MIN(I41+J41,D41-G41)</f>
        <v>0</v>
      </c>
      <c r="M41" s="12" t="n">
        <f aca="false">I41+J41-L41</f>
        <v>0</v>
      </c>
      <c r="N41" s="12" t="n">
        <f aca="false">P40</f>
        <v>21027.3672120403</v>
      </c>
      <c r="O41" s="12" t="n">
        <f aca="false">MIN(MAX(D41-G41-L41,0),MAX($B$15-$B$18-N41,0))</f>
        <v>2503.02666666667</v>
      </c>
      <c r="P41" s="12" t="n">
        <f aca="false">N41+O41</f>
        <v>23530.393878707</v>
      </c>
      <c r="Q41" s="5" t="n">
        <f aca="false">IF(H41&lt;=0.005,1,0)</f>
        <v>1</v>
      </c>
      <c r="R41" s="5" t="n">
        <f aca="false">IF(M41&lt;=0.005,1,0)</f>
        <v>1</v>
      </c>
      <c r="S41" s="5" t="n">
        <f aca="false">IF(AND(Q41=1,R41=1),1,0)</f>
        <v>1</v>
      </c>
      <c r="T41" s="5" t="n">
        <f aca="false">IF(P41&gt;=$B$20,1,0)</f>
        <v>0</v>
      </c>
      <c r="U41" s="5" t="n">
        <f aca="false">IF(P41+$B$18&gt;=$B$15-0.5,1,0)</f>
        <v>0</v>
      </c>
      <c r="V41" s="12" t="n">
        <f aca="false">MAX(D41-G41-L41,0)-O41</f>
        <v>0</v>
      </c>
      <c r="W41" s="12" t="n">
        <f aca="false">P41+$B$18</f>
        <v>39791.143878707</v>
      </c>
    </row>
    <row r="42" customFormat="false" ht="15" hidden="false" customHeight="false" outlineLevel="0" collapsed="false">
      <c r="A42" s="30" t="n">
        <v>46722</v>
      </c>
      <c r="B42" s="25" t="n">
        <f aca="false">IF(A42&lt;=$B$21,Budget!$F$70,Budget!$F$71)+IF(A42&gt;$B$24,$B$25,0)</f>
        <v>2503.02666666667</v>
      </c>
      <c r="C42" s="12" t="n">
        <f aca="false">IF(A42=$B$23,$B$22,0)</f>
        <v>0</v>
      </c>
      <c r="D42" s="12" t="n">
        <f aca="false">B42+C42</f>
        <v>2503.02666666667</v>
      </c>
      <c r="E42" s="12" t="n">
        <f aca="false">H41</f>
        <v>0</v>
      </c>
      <c r="F42" s="12" t="n">
        <f aca="false">E42*$B$6/12</f>
        <v>0</v>
      </c>
      <c r="G42" s="12" t="n">
        <f aca="false">MIN(E42+F42,MAX(D42-K42,0))</f>
        <v>0</v>
      </c>
      <c r="H42" s="12" t="n">
        <f aca="false">E42+F42-G42</f>
        <v>0</v>
      </c>
      <c r="I42" s="12" t="n">
        <f aca="false">M41</f>
        <v>0</v>
      </c>
      <c r="J42" s="12" t="n">
        <f aca="false">I42*$B$8/12</f>
        <v>0</v>
      </c>
      <c r="K42" s="12" t="n">
        <f aca="false">MIN(I42+J42,J42+$B$9*I42)</f>
        <v>0</v>
      </c>
      <c r="L42" s="12" t="n">
        <f aca="false">MIN(I42+J42,D42-G42)</f>
        <v>0</v>
      </c>
      <c r="M42" s="12" t="n">
        <f aca="false">I42+J42-L42</f>
        <v>0</v>
      </c>
      <c r="N42" s="12" t="n">
        <f aca="false">P41</f>
        <v>23530.393878707</v>
      </c>
      <c r="O42" s="12" t="n">
        <f aca="false">MIN(MAX(D42-G42-L42,0),MAX($B$15-$B$18-N42,0))</f>
        <v>2503.02666666667</v>
      </c>
      <c r="P42" s="12" t="n">
        <f aca="false">N42+O42</f>
        <v>26033.4205453737</v>
      </c>
      <c r="Q42" s="5" t="n">
        <f aca="false">IF(H42&lt;=0.005,1,0)</f>
        <v>1</v>
      </c>
      <c r="R42" s="5" t="n">
        <f aca="false">IF(M42&lt;=0.005,1,0)</f>
        <v>1</v>
      </c>
      <c r="S42" s="5" t="n">
        <f aca="false">IF(AND(Q42=1,R42=1),1,0)</f>
        <v>1</v>
      </c>
      <c r="T42" s="5" t="n">
        <f aca="false">IF(P42&gt;=$B$20,1,0)</f>
        <v>0</v>
      </c>
      <c r="U42" s="5" t="n">
        <f aca="false">IF(P42+$B$18&gt;=$B$15-0.5,1,0)</f>
        <v>0</v>
      </c>
      <c r="V42" s="12" t="n">
        <f aca="false">MAX(D42-G42-L42,0)-O42</f>
        <v>0</v>
      </c>
      <c r="W42" s="12" t="n">
        <f aca="false">P42+$B$18</f>
        <v>42294.1705453737</v>
      </c>
    </row>
    <row r="43" customFormat="false" ht="15" hidden="false" customHeight="false" outlineLevel="0" collapsed="false">
      <c r="A43" s="30" t="n">
        <v>46753</v>
      </c>
      <c r="B43" s="25" t="n">
        <f aca="false">IF(A43&lt;=$B$21,Budget!$F$70,Budget!$F$71)+IF(A43&gt;$B$24,$B$25,0)</f>
        <v>2503.02666666667</v>
      </c>
      <c r="C43" s="12" t="n">
        <f aca="false">IF(A43=$B$23,$B$22,0)</f>
        <v>0</v>
      </c>
      <c r="D43" s="12" t="n">
        <f aca="false">B43+C43</f>
        <v>2503.02666666667</v>
      </c>
      <c r="E43" s="12" t="n">
        <f aca="false">H42</f>
        <v>0</v>
      </c>
      <c r="F43" s="12" t="n">
        <f aca="false">E43*$B$6/12</f>
        <v>0</v>
      </c>
      <c r="G43" s="12" t="n">
        <f aca="false">MIN(E43+F43,MAX(D43-K43,0))</f>
        <v>0</v>
      </c>
      <c r="H43" s="12" t="n">
        <f aca="false">E43+F43-G43</f>
        <v>0</v>
      </c>
      <c r="I43" s="12" t="n">
        <f aca="false">M42</f>
        <v>0</v>
      </c>
      <c r="J43" s="12" t="n">
        <f aca="false">I43*$B$8/12</f>
        <v>0</v>
      </c>
      <c r="K43" s="12" t="n">
        <f aca="false">MIN(I43+J43,J43+$B$9*I43)</f>
        <v>0</v>
      </c>
      <c r="L43" s="12" t="n">
        <f aca="false">MIN(I43+J43,D43-G43)</f>
        <v>0</v>
      </c>
      <c r="M43" s="12" t="n">
        <f aca="false">I43+J43-L43</f>
        <v>0</v>
      </c>
      <c r="N43" s="12" t="n">
        <f aca="false">P42</f>
        <v>26033.4205453737</v>
      </c>
      <c r="O43" s="12" t="n">
        <f aca="false">MIN(MAX(D43-G43-L43,0),MAX($B$15-$B$18-N43,0))</f>
        <v>2503.02666666667</v>
      </c>
      <c r="P43" s="12" t="n">
        <f aca="false">N43+O43</f>
        <v>28536.4472120403</v>
      </c>
      <c r="Q43" s="5" t="n">
        <f aca="false">IF(H43&lt;=0.005,1,0)</f>
        <v>1</v>
      </c>
      <c r="R43" s="5" t="n">
        <f aca="false">IF(M43&lt;=0.005,1,0)</f>
        <v>1</v>
      </c>
      <c r="S43" s="5" t="n">
        <f aca="false">IF(AND(Q43=1,R43=1),1,0)</f>
        <v>1</v>
      </c>
      <c r="T43" s="5" t="n">
        <f aca="false">IF(P43&gt;=$B$20,1,0)</f>
        <v>0</v>
      </c>
      <c r="U43" s="5" t="n">
        <f aca="false">IF(P43+$B$18&gt;=$B$15-0.5,1,0)</f>
        <v>0</v>
      </c>
      <c r="V43" s="12" t="n">
        <f aca="false">MAX(D43-G43-L43,0)-O43</f>
        <v>0</v>
      </c>
      <c r="W43" s="12" t="n">
        <f aca="false">P43+$B$18</f>
        <v>44797.1972120403</v>
      </c>
    </row>
    <row r="44" customFormat="false" ht="15" hidden="false" customHeight="false" outlineLevel="0" collapsed="false">
      <c r="A44" s="30" t="n">
        <v>46784</v>
      </c>
      <c r="B44" s="25" t="n">
        <f aca="false">IF(A44&lt;=$B$21,Budget!$F$70,Budget!$F$71)+IF(A44&gt;$B$24,$B$25,0)</f>
        <v>2503.02666666667</v>
      </c>
      <c r="C44" s="12" t="n">
        <f aca="false">IF(A44=$B$23,$B$22,0)</f>
        <v>0</v>
      </c>
      <c r="D44" s="12" t="n">
        <f aca="false">B44+C44</f>
        <v>2503.02666666667</v>
      </c>
      <c r="E44" s="12" t="n">
        <f aca="false">H43</f>
        <v>0</v>
      </c>
      <c r="F44" s="12" t="n">
        <f aca="false">E44*$B$6/12</f>
        <v>0</v>
      </c>
      <c r="G44" s="12" t="n">
        <f aca="false">MIN(E44+F44,MAX(D44-K44,0))</f>
        <v>0</v>
      </c>
      <c r="H44" s="12" t="n">
        <f aca="false">E44+F44-G44</f>
        <v>0</v>
      </c>
      <c r="I44" s="12" t="n">
        <f aca="false">M43</f>
        <v>0</v>
      </c>
      <c r="J44" s="12" t="n">
        <f aca="false">I44*$B$8/12</f>
        <v>0</v>
      </c>
      <c r="K44" s="12" t="n">
        <f aca="false">MIN(I44+J44,J44+$B$9*I44)</f>
        <v>0</v>
      </c>
      <c r="L44" s="12" t="n">
        <f aca="false">MIN(I44+J44,D44-G44)</f>
        <v>0</v>
      </c>
      <c r="M44" s="12" t="n">
        <f aca="false">I44+J44-L44</f>
        <v>0</v>
      </c>
      <c r="N44" s="12" t="n">
        <f aca="false">P43</f>
        <v>28536.4472120403</v>
      </c>
      <c r="O44" s="12" t="n">
        <f aca="false">MIN(MAX(D44-G44-L44,0),MAX($B$15-$B$18-N44,0))</f>
        <v>2503.02666666667</v>
      </c>
      <c r="P44" s="12" t="n">
        <f aca="false">N44+O44</f>
        <v>31039.473878707</v>
      </c>
      <c r="Q44" s="5" t="n">
        <f aca="false">IF(H44&lt;=0.005,1,0)</f>
        <v>1</v>
      </c>
      <c r="R44" s="5" t="n">
        <f aca="false">IF(M44&lt;=0.005,1,0)</f>
        <v>1</v>
      </c>
      <c r="S44" s="5" t="n">
        <f aca="false">IF(AND(Q44=1,R44=1),1,0)</f>
        <v>1</v>
      </c>
      <c r="T44" s="5" t="n">
        <f aca="false">IF(P44&gt;=$B$20,1,0)</f>
        <v>0</v>
      </c>
      <c r="U44" s="5" t="n">
        <f aca="false">IF(P44+$B$18&gt;=$B$15-0.5,1,0)</f>
        <v>0</v>
      </c>
      <c r="V44" s="12" t="n">
        <f aca="false">MAX(D44-G44-L44,0)-O44</f>
        <v>0</v>
      </c>
      <c r="W44" s="12" t="n">
        <f aca="false">P44+$B$18</f>
        <v>47300.223878707</v>
      </c>
    </row>
    <row r="45" customFormat="false" ht="15" hidden="false" customHeight="false" outlineLevel="0" collapsed="false">
      <c r="A45" s="30" t="n">
        <v>46813</v>
      </c>
      <c r="B45" s="25" t="n">
        <f aca="false">IF(A45&lt;=$B$21,Budget!$F$70,Budget!$F$71)+IF(A45&gt;$B$24,$B$25,0)</f>
        <v>2503.02666666667</v>
      </c>
      <c r="C45" s="12" t="n">
        <f aca="false">IF(A45=$B$23,$B$22,0)</f>
        <v>0</v>
      </c>
      <c r="D45" s="12" t="n">
        <f aca="false">B45+C45</f>
        <v>2503.02666666667</v>
      </c>
      <c r="E45" s="12" t="n">
        <f aca="false">H44</f>
        <v>0</v>
      </c>
      <c r="F45" s="12" t="n">
        <f aca="false">E45*$B$6/12</f>
        <v>0</v>
      </c>
      <c r="G45" s="12" t="n">
        <f aca="false">MIN(E45+F45,MAX(D45-K45,0))</f>
        <v>0</v>
      </c>
      <c r="H45" s="12" t="n">
        <f aca="false">E45+F45-G45</f>
        <v>0</v>
      </c>
      <c r="I45" s="12" t="n">
        <f aca="false">M44</f>
        <v>0</v>
      </c>
      <c r="J45" s="12" t="n">
        <f aca="false">I45*$B$8/12</f>
        <v>0</v>
      </c>
      <c r="K45" s="12" t="n">
        <f aca="false">MIN(I45+J45,J45+$B$9*I45)</f>
        <v>0</v>
      </c>
      <c r="L45" s="12" t="n">
        <f aca="false">MIN(I45+J45,D45-G45)</f>
        <v>0</v>
      </c>
      <c r="M45" s="12" t="n">
        <f aca="false">I45+J45-L45</f>
        <v>0</v>
      </c>
      <c r="N45" s="12" t="n">
        <f aca="false">P44</f>
        <v>31039.473878707</v>
      </c>
      <c r="O45" s="12" t="n">
        <f aca="false">MIN(MAX(D45-G45-L45,0),MAX($B$15-$B$18-N45,0))</f>
        <v>2503.02666666667</v>
      </c>
      <c r="P45" s="12" t="n">
        <f aca="false">N45+O45</f>
        <v>33542.5005453737</v>
      </c>
      <c r="Q45" s="5" t="n">
        <f aca="false">IF(H45&lt;=0.005,1,0)</f>
        <v>1</v>
      </c>
      <c r="R45" s="5" t="n">
        <f aca="false">IF(M45&lt;=0.005,1,0)</f>
        <v>1</v>
      </c>
      <c r="S45" s="5" t="n">
        <f aca="false">IF(AND(Q45=1,R45=1),1,0)</f>
        <v>1</v>
      </c>
      <c r="T45" s="5" t="n">
        <f aca="false">IF(P45&gt;=$B$20,1,0)</f>
        <v>0</v>
      </c>
      <c r="U45" s="5" t="n">
        <f aca="false">IF(P45+$B$18&gt;=$B$15-0.5,1,0)</f>
        <v>0</v>
      </c>
      <c r="V45" s="12" t="n">
        <f aca="false">MAX(D45-G45-L45,0)-O45</f>
        <v>0</v>
      </c>
      <c r="W45" s="12" t="n">
        <f aca="false">P45+$B$18</f>
        <v>49803.2505453737</v>
      </c>
    </row>
    <row r="46" customFormat="false" ht="15" hidden="false" customHeight="false" outlineLevel="0" collapsed="false">
      <c r="A46" s="30" t="n">
        <v>46844</v>
      </c>
      <c r="B46" s="25" t="n">
        <f aca="false">IF(A46&lt;=$B$21,Budget!$F$70,Budget!$F$71)+IF(A46&gt;$B$24,$B$25,0)</f>
        <v>2503.02666666667</v>
      </c>
      <c r="C46" s="12" t="n">
        <f aca="false">IF(A46=$B$23,$B$22,0)</f>
        <v>0</v>
      </c>
      <c r="D46" s="12" t="n">
        <f aca="false">B46+C46</f>
        <v>2503.02666666667</v>
      </c>
      <c r="E46" s="12" t="n">
        <f aca="false">H45</f>
        <v>0</v>
      </c>
      <c r="F46" s="12" t="n">
        <f aca="false">E46*$B$6/12</f>
        <v>0</v>
      </c>
      <c r="G46" s="12" t="n">
        <f aca="false">MIN(E46+F46,MAX(D46-K46,0))</f>
        <v>0</v>
      </c>
      <c r="H46" s="12" t="n">
        <f aca="false">E46+F46-G46</f>
        <v>0</v>
      </c>
      <c r="I46" s="12" t="n">
        <f aca="false">M45</f>
        <v>0</v>
      </c>
      <c r="J46" s="12" t="n">
        <f aca="false">I46*$B$8/12</f>
        <v>0</v>
      </c>
      <c r="K46" s="12" t="n">
        <f aca="false">MIN(I46+J46,J46+$B$9*I46)</f>
        <v>0</v>
      </c>
      <c r="L46" s="12" t="n">
        <f aca="false">MIN(I46+J46,D46-G46)</f>
        <v>0</v>
      </c>
      <c r="M46" s="12" t="n">
        <f aca="false">I46+J46-L46</f>
        <v>0</v>
      </c>
      <c r="N46" s="12" t="n">
        <f aca="false">P45</f>
        <v>33542.5005453737</v>
      </c>
      <c r="O46" s="12" t="n">
        <f aca="false">MIN(MAX(D46-G46-L46,0),MAX($B$15-$B$18-N46,0))</f>
        <v>2503.02666666667</v>
      </c>
      <c r="P46" s="12" t="n">
        <f aca="false">N46+O46</f>
        <v>36045.5272120403</v>
      </c>
      <c r="Q46" s="5" t="n">
        <f aca="false">IF(H46&lt;=0.005,1,0)</f>
        <v>1</v>
      </c>
      <c r="R46" s="5" t="n">
        <f aca="false">IF(M46&lt;=0.005,1,0)</f>
        <v>1</v>
      </c>
      <c r="S46" s="5" t="n">
        <f aca="false">IF(AND(Q46=1,R46=1),1,0)</f>
        <v>1</v>
      </c>
      <c r="T46" s="5" t="n">
        <f aca="false">IF(P46&gt;=$B$20,1,0)</f>
        <v>0</v>
      </c>
      <c r="U46" s="5" t="n">
        <f aca="false">IF(P46+$B$18&gt;=$B$15-0.5,1,0)</f>
        <v>0</v>
      </c>
      <c r="V46" s="12" t="n">
        <f aca="false">MAX(D46-G46-L46,0)-O46</f>
        <v>0</v>
      </c>
      <c r="W46" s="12" t="n">
        <f aca="false">P46+$B$18</f>
        <v>52306.2772120403</v>
      </c>
    </row>
    <row r="47" customFormat="false" ht="15" hidden="false" customHeight="false" outlineLevel="0" collapsed="false">
      <c r="A47" s="30" t="n">
        <v>46874</v>
      </c>
      <c r="B47" s="25" t="n">
        <f aca="false">IF(A47&lt;=$B$21,Budget!$F$70,Budget!$F$71)+IF(A47&gt;$B$24,$B$25,0)</f>
        <v>2503.02666666667</v>
      </c>
      <c r="C47" s="12" t="n">
        <f aca="false">IF(A47=$B$23,$B$22,0)</f>
        <v>0</v>
      </c>
      <c r="D47" s="12" t="n">
        <f aca="false">B47+C47</f>
        <v>2503.02666666667</v>
      </c>
      <c r="E47" s="12" t="n">
        <f aca="false">H46</f>
        <v>0</v>
      </c>
      <c r="F47" s="12" t="n">
        <f aca="false">E47*$B$6/12</f>
        <v>0</v>
      </c>
      <c r="G47" s="12" t="n">
        <f aca="false">MIN(E47+F47,MAX(D47-K47,0))</f>
        <v>0</v>
      </c>
      <c r="H47" s="12" t="n">
        <f aca="false">E47+F47-G47</f>
        <v>0</v>
      </c>
      <c r="I47" s="12" t="n">
        <f aca="false">M46</f>
        <v>0</v>
      </c>
      <c r="J47" s="12" t="n">
        <f aca="false">I47*$B$8/12</f>
        <v>0</v>
      </c>
      <c r="K47" s="12" t="n">
        <f aca="false">MIN(I47+J47,J47+$B$9*I47)</f>
        <v>0</v>
      </c>
      <c r="L47" s="12" t="n">
        <f aca="false">MIN(I47+J47,D47-G47)</f>
        <v>0</v>
      </c>
      <c r="M47" s="12" t="n">
        <f aca="false">I47+J47-L47</f>
        <v>0</v>
      </c>
      <c r="N47" s="12" t="n">
        <f aca="false">P46</f>
        <v>36045.5272120403</v>
      </c>
      <c r="O47" s="12" t="n">
        <f aca="false">MIN(MAX(D47-G47-L47,0),MAX($B$15-$B$18-N47,0))</f>
        <v>2503.02666666667</v>
      </c>
      <c r="P47" s="12" t="n">
        <f aca="false">N47+O47</f>
        <v>38548.553878707</v>
      </c>
      <c r="Q47" s="5" t="n">
        <f aca="false">IF(H47&lt;=0.005,1,0)</f>
        <v>1</v>
      </c>
      <c r="R47" s="5" t="n">
        <f aca="false">IF(M47&lt;=0.005,1,0)</f>
        <v>1</v>
      </c>
      <c r="S47" s="5" t="n">
        <f aca="false">IF(AND(Q47=1,R47=1),1,0)</f>
        <v>1</v>
      </c>
      <c r="T47" s="5" t="n">
        <f aca="false">IF(P47&gt;=$B$20,1,0)</f>
        <v>0</v>
      </c>
      <c r="U47" s="5" t="n">
        <f aca="false">IF(P47+$B$18&gt;=$B$15-0.5,1,0)</f>
        <v>0</v>
      </c>
      <c r="V47" s="12" t="n">
        <f aca="false">MAX(D47-G47-L47,0)-O47</f>
        <v>0</v>
      </c>
      <c r="W47" s="12" t="n">
        <f aca="false">P47+$B$18</f>
        <v>54809.303878707</v>
      </c>
    </row>
    <row r="48" customFormat="false" ht="15" hidden="false" customHeight="false" outlineLevel="0" collapsed="false">
      <c r="A48" s="30" t="n">
        <v>46905</v>
      </c>
      <c r="B48" s="25" t="n">
        <f aca="false">IF(A48&lt;=$B$21,Budget!$F$70,Budget!$F$71)+IF(A48&gt;$B$24,$B$25,0)</f>
        <v>2503.02666666667</v>
      </c>
      <c r="C48" s="12" t="n">
        <f aca="false">IF(A48=$B$23,$B$22,0)</f>
        <v>0</v>
      </c>
      <c r="D48" s="12" t="n">
        <f aca="false">B48+C48</f>
        <v>2503.02666666667</v>
      </c>
      <c r="E48" s="12" t="n">
        <f aca="false">H47</f>
        <v>0</v>
      </c>
      <c r="F48" s="12" t="n">
        <f aca="false">E48*$B$6/12</f>
        <v>0</v>
      </c>
      <c r="G48" s="12" t="n">
        <f aca="false">MIN(E48+F48,MAX(D48-K48,0))</f>
        <v>0</v>
      </c>
      <c r="H48" s="12" t="n">
        <f aca="false">E48+F48-G48</f>
        <v>0</v>
      </c>
      <c r="I48" s="12" t="n">
        <f aca="false">M47</f>
        <v>0</v>
      </c>
      <c r="J48" s="12" t="n">
        <f aca="false">I48*$B$8/12</f>
        <v>0</v>
      </c>
      <c r="K48" s="12" t="n">
        <f aca="false">MIN(I48+J48,J48+$B$9*I48)</f>
        <v>0</v>
      </c>
      <c r="L48" s="12" t="n">
        <f aca="false">MIN(I48+J48,D48-G48)</f>
        <v>0</v>
      </c>
      <c r="M48" s="12" t="n">
        <f aca="false">I48+J48-L48</f>
        <v>0</v>
      </c>
      <c r="N48" s="12" t="n">
        <f aca="false">P47</f>
        <v>38548.553878707</v>
      </c>
      <c r="O48" s="12" t="n">
        <f aca="false">MIN(MAX(D48-G48-L48,0),MAX($B$15-$B$18-N48,0))</f>
        <v>2503.02666666667</v>
      </c>
      <c r="P48" s="12" t="n">
        <f aca="false">N48+O48</f>
        <v>41051.5805453737</v>
      </c>
      <c r="Q48" s="5" t="n">
        <f aca="false">IF(H48&lt;=0.005,1,0)</f>
        <v>1</v>
      </c>
      <c r="R48" s="5" t="n">
        <f aca="false">IF(M48&lt;=0.005,1,0)</f>
        <v>1</v>
      </c>
      <c r="S48" s="5" t="n">
        <f aca="false">IF(AND(Q48=1,R48=1),1,0)</f>
        <v>1</v>
      </c>
      <c r="T48" s="5" t="n">
        <f aca="false">IF(P48&gt;=$B$20,1,0)</f>
        <v>0</v>
      </c>
      <c r="U48" s="5" t="n">
        <f aca="false">IF(P48+$B$18&gt;=$B$15-0.5,1,0)</f>
        <v>0</v>
      </c>
      <c r="V48" s="12" t="n">
        <f aca="false">MAX(D48-G48-L48,0)-O48</f>
        <v>0</v>
      </c>
      <c r="W48" s="12" t="n">
        <f aca="false">P48+$B$18</f>
        <v>57312.3305453737</v>
      </c>
    </row>
    <row r="49" customFormat="false" ht="15" hidden="false" customHeight="false" outlineLevel="0" collapsed="false">
      <c r="A49" s="30" t="n">
        <v>46935</v>
      </c>
      <c r="B49" s="25" t="n">
        <f aca="false">IF(A49&lt;=$B$21,Budget!$F$70,Budget!$F$71)+IF(A49&gt;$B$24,$B$25,0)</f>
        <v>2503.02666666667</v>
      </c>
      <c r="C49" s="12" t="n">
        <f aca="false">IF(A49=$B$23,$B$22,0)</f>
        <v>0</v>
      </c>
      <c r="D49" s="12" t="n">
        <f aca="false">B49+C49</f>
        <v>2503.02666666667</v>
      </c>
      <c r="E49" s="12" t="n">
        <f aca="false">H48</f>
        <v>0</v>
      </c>
      <c r="F49" s="12" t="n">
        <f aca="false">E49*$B$6/12</f>
        <v>0</v>
      </c>
      <c r="G49" s="12" t="n">
        <f aca="false">MIN(E49+F49,MAX(D49-K49,0))</f>
        <v>0</v>
      </c>
      <c r="H49" s="12" t="n">
        <f aca="false">E49+F49-G49</f>
        <v>0</v>
      </c>
      <c r="I49" s="12" t="n">
        <f aca="false">M48</f>
        <v>0</v>
      </c>
      <c r="J49" s="12" t="n">
        <f aca="false">I49*$B$8/12</f>
        <v>0</v>
      </c>
      <c r="K49" s="12" t="n">
        <f aca="false">MIN(I49+J49,J49+$B$9*I49)</f>
        <v>0</v>
      </c>
      <c r="L49" s="12" t="n">
        <f aca="false">MIN(I49+J49,D49-G49)</f>
        <v>0</v>
      </c>
      <c r="M49" s="12" t="n">
        <f aca="false">I49+J49-L49</f>
        <v>0</v>
      </c>
      <c r="N49" s="12" t="n">
        <f aca="false">P48</f>
        <v>41051.5805453737</v>
      </c>
      <c r="O49" s="12" t="n">
        <f aca="false">MIN(MAX(D49-G49-L49,0),MAX($B$15-$B$18-N49,0))</f>
        <v>2503.02666666667</v>
      </c>
      <c r="P49" s="12" t="n">
        <f aca="false">N49+O49</f>
        <v>43554.6072120404</v>
      </c>
      <c r="Q49" s="5" t="n">
        <f aca="false">IF(H49&lt;=0.005,1,0)</f>
        <v>1</v>
      </c>
      <c r="R49" s="5" t="n">
        <f aca="false">IF(M49&lt;=0.005,1,0)</f>
        <v>1</v>
      </c>
      <c r="S49" s="5" t="n">
        <f aca="false">IF(AND(Q49=1,R49=1),1,0)</f>
        <v>1</v>
      </c>
      <c r="T49" s="5" t="n">
        <f aca="false">IF(P49&gt;=$B$20,1,0)</f>
        <v>0</v>
      </c>
      <c r="U49" s="5" t="n">
        <f aca="false">IF(P49+$B$18&gt;=$B$15-0.5,1,0)</f>
        <v>0</v>
      </c>
      <c r="V49" s="12" t="n">
        <f aca="false">MAX(D49-G49-L49,0)-O49</f>
        <v>0</v>
      </c>
      <c r="W49" s="12" t="n">
        <f aca="false">P49+$B$18</f>
        <v>59815.3572120404</v>
      </c>
    </row>
    <row r="50" customFormat="false" ht="15" hidden="false" customHeight="false" outlineLevel="0" collapsed="false">
      <c r="A50" s="30" t="n">
        <v>46966</v>
      </c>
      <c r="B50" s="25" t="n">
        <f aca="false">IF(A50&lt;=$B$21,Budget!$F$70,Budget!$F$71)+IF(A50&gt;$B$24,$B$25,0)</f>
        <v>2503.02666666667</v>
      </c>
      <c r="C50" s="12" t="n">
        <f aca="false">IF(A50=$B$23,$B$22,0)</f>
        <v>0</v>
      </c>
      <c r="D50" s="12" t="n">
        <f aca="false">B50+C50</f>
        <v>2503.02666666667</v>
      </c>
      <c r="E50" s="12" t="n">
        <f aca="false">H49</f>
        <v>0</v>
      </c>
      <c r="F50" s="12" t="n">
        <f aca="false">E50*$B$6/12</f>
        <v>0</v>
      </c>
      <c r="G50" s="12" t="n">
        <f aca="false">MIN(E50+F50,MAX(D50-K50,0))</f>
        <v>0</v>
      </c>
      <c r="H50" s="12" t="n">
        <f aca="false">E50+F50-G50</f>
        <v>0</v>
      </c>
      <c r="I50" s="12" t="n">
        <f aca="false">M49</f>
        <v>0</v>
      </c>
      <c r="J50" s="12" t="n">
        <f aca="false">I50*$B$8/12</f>
        <v>0</v>
      </c>
      <c r="K50" s="12" t="n">
        <f aca="false">MIN(I50+J50,J50+$B$9*I50)</f>
        <v>0</v>
      </c>
      <c r="L50" s="12" t="n">
        <f aca="false">MIN(I50+J50,D50-G50)</f>
        <v>0</v>
      </c>
      <c r="M50" s="12" t="n">
        <f aca="false">I50+J50-L50</f>
        <v>0</v>
      </c>
      <c r="N50" s="12" t="n">
        <f aca="false">P49</f>
        <v>43554.6072120404</v>
      </c>
      <c r="O50" s="12" t="n">
        <f aca="false">MIN(MAX(D50-G50-L50,0),MAX($B$15-$B$18-N50,0))</f>
        <v>2503.02666666667</v>
      </c>
      <c r="P50" s="12" t="n">
        <f aca="false">N50+O50</f>
        <v>46057.633878707</v>
      </c>
      <c r="Q50" s="5" t="n">
        <f aca="false">IF(H50&lt;=0.005,1,0)</f>
        <v>1</v>
      </c>
      <c r="R50" s="5" t="n">
        <f aca="false">IF(M50&lt;=0.005,1,0)</f>
        <v>1</v>
      </c>
      <c r="S50" s="5" t="n">
        <f aca="false">IF(AND(Q50=1,R50=1),1,0)</f>
        <v>1</v>
      </c>
      <c r="T50" s="5" t="n">
        <f aca="false">IF(P50&gt;=$B$20,1,0)</f>
        <v>0</v>
      </c>
      <c r="U50" s="5" t="n">
        <f aca="false">IF(P50+$B$18&gt;=$B$15-0.5,1,0)</f>
        <v>0</v>
      </c>
      <c r="V50" s="12" t="n">
        <f aca="false">MAX(D50-G50-L50,0)-O50</f>
        <v>0</v>
      </c>
      <c r="W50" s="12" t="n">
        <f aca="false">P50+$B$18</f>
        <v>62318.383878707</v>
      </c>
    </row>
    <row r="51" customFormat="false" ht="15" hidden="false" customHeight="false" outlineLevel="0" collapsed="false">
      <c r="A51" s="30" t="n">
        <v>46997</v>
      </c>
      <c r="B51" s="25" t="n">
        <f aca="false">IF(A51&lt;=$B$21,Budget!$F$70,Budget!$F$71)+IF(A51&gt;$B$24,$B$25,0)</f>
        <v>2503.02666666667</v>
      </c>
      <c r="C51" s="12" t="n">
        <f aca="false">IF(A51=$B$23,$B$22,0)</f>
        <v>0</v>
      </c>
      <c r="D51" s="12" t="n">
        <f aca="false">B51+C51</f>
        <v>2503.02666666667</v>
      </c>
      <c r="E51" s="12" t="n">
        <f aca="false">H50</f>
        <v>0</v>
      </c>
      <c r="F51" s="12" t="n">
        <f aca="false">E51*$B$6/12</f>
        <v>0</v>
      </c>
      <c r="G51" s="12" t="n">
        <f aca="false">MIN(E51+F51,MAX(D51-K51,0))</f>
        <v>0</v>
      </c>
      <c r="H51" s="12" t="n">
        <f aca="false">E51+F51-G51</f>
        <v>0</v>
      </c>
      <c r="I51" s="12" t="n">
        <f aca="false">M50</f>
        <v>0</v>
      </c>
      <c r="J51" s="12" t="n">
        <f aca="false">I51*$B$8/12</f>
        <v>0</v>
      </c>
      <c r="K51" s="12" t="n">
        <f aca="false">MIN(I51+J51,J51+$B$9*I51)</f>
        <v>0</v>
      </c>
      <c r="L51" s="12" t="n">
        <f aca="false">MIN(I51+J51,D51-G51)</f>
        <v>0</v>
      </c>
      <c r="M51" s="12" t="n">
        <f aca="false">I51+J51-L51</f>
        <v>0</v>
      </c>
      <c r="N51" s="12" t="n">
        <f aca="false">P50</f>
        <v>46057.633878707</v>
      </c>
      <c r="O51" s="12" t="n">
        <f aca="false">MIN(MAX(D51-G51-L51,0),MAX($B$15-$B$18-N51,0))</f>
        <v>2503.02666666667</v>
      </c>
      <c r="P51" s="12" t="n">
        <f aca="false">N51+O51</f>
        <v>48560.6605453737</v>
      </c>
      <c r="Q51" s="5" t="n">
        <f aca="false">IF(H51&lt;=0.005,1,0)</f>
        <v>1</v>
      </c>
      <c r="R51" s="5" t="n">
        <f aca="false">IF(M51&lt;=0.005,1,0)</f>
        <v>1</v>
      </c>
      <c r="S51" s="5" t="n">
        <f aca="false">IF(AND(Q51=1,R51=1),1,0)</f>
        <v>1</v>
      </c>
      <c r="T51" s="5" t="n">
        <f aca="false">IF(P51&gt;=$B$20,1,0)</f>
        <v>0</v>
      </c>
      <c r="U51" s="5" t="n">
        <f aca="false">IF(P51+$B$18&gt;=$B$15-0.5,1,0)</f>
        <v>0</v>
      </c>
      <c r="V51" s="12" t="n">
        <f aca="false">MAX(D51-G51-L51,0)-O51</f>
        <v>0</v>
      </c>
      <c r="W51" s="12" t="n">
        <f aca="false">P51+$B$18</f>
        <v>64821.4105453737</v>
      </c>
    </row>
    <row r="52" customFormat="false" ht="15" hidden="false" customHeight="false" outlineLevel="0" collapsed="false">
      <c r="A52" s="30" t="n">
        <v>47027</v>
      </c>
      <c r="B52" s="25" t="n">
        <f aca="false">IF(A52&lt;=$B$21,Budget!$F$70,Budget!$F$71)+IF(A52&gt;$B$24,$B$25,0)</f>
        <v>2503.02666666667</v>
      </c>
      <c r="C52" s="12" t="n">
        <f aca="false">IF(A52=$B$23,$B$22,0)</f>
        <v>0</v>
      </c>
      <c r="D52" s="12" t="n">
        <f aca="false">B52+C52</f>
        <v>2503.02666666667</v>
      </c>
      <c r="E52" s="12" t="n">
        <f aca="false">H51</f>
        <v>0</v>
      </c>
      <c r="F52" s="12" t="n">
        <f aca="false">E52*$B$6/12</f>
        <v>0</v>
      </c>
      <c r="G52" s="12" t="n">
        <f aca="false">MIN(E52+F52,MAX(D52-K52,0))</f>
        <v>0</v>
      </c>
      <c r="H52" s="12" t="n">
        <f aca="false">E52+F52-G52</f>
        <v>0</v>
      </c>
      <c r="I52" s="12" t="n">
        <f aca="false">M51</f>
        <v>0</v>
      </c>
      <c r="J52" s="12" t="n">
        <f aca="false">I52*$B$8/12</f>
        <v>0</v>
      </c>
      <c r="K52" s="12" t="n">
        <f aca="false">MIN(I52+J52,J52+$B$9*I52)</f>
        <v>0</v>
      </c>
      <c r="L52" s="12" t="n">
        <f aca="false">MIN(I52+J52,D52-G52)</f>
        <v>0</v>
      </c>
      <c r="M52" s="12" t="n">
        <f aca="false">I52+J52-L52</f>
        <v>0</v>
      </c>
      <c r="N52" s="12" t="n">
        <f aca="false">P51</f>
        <v>48560.6605453737</v>
      </c>
      <c r="O52" s="12" t="n">
        <f aca="false">MIN(MAX(D52-G52-L52,0),MAX($B$15-$B$18-N52,0))</f>
        <v>2503.02666666667</v>
      </c>
      <c r="P52" s="12" t="n">
        <f aca="false">N52+O52</f>
        <v>51063.6872120404</v>
      </c>
      <c r="Q52" s="5" t="n">
        <f aca="false">IF(H52&lt;=0.005,1,0)</f>
        <v>1</v>
      </c>
      <c r="R52" s="5" t="n">
        <f aca="false">IF(M52&lt;=0.005,1,0)</f>
        <v>1</v>
      </c>
      <c r="S52" s="5" t="n">
        <f aca="false">IF(AND(Q52=1,R52=1),1,0)</f>
        <v>1</v>
      </c>
      <c r="T52" s="5" t="n">
        <f aca="false">IF(P52&gt;=$B$20,1,0)</f>
        <v>1</v>
      </c>
      <c r="U52" s="5" t="n">
        <f aca="false">IF(P52+$B$18&gt;=$B$15-0.5,1,0)</f>
        <v>0</v>
      </c>
      <c r="V52" s="12" t="n">
        <f aca="false">MAX(D52-G52-L52,0)-O52</f>
        <v>0</v>
      </c>
      <c r="W52" s="12" t="n">
        <f aca="false">P52+$B$18</f>
        <v>67324.4372120404</v>
      </c>
    </row>
    <row r="53" customFormat="false" ht="15" hidden="false" customHeight="false" outlineLevel="0" collapsed="false">
      <c r="A53" s="30" t="n">
        <v>47058</v>
      </c>
      <c r="B53" s="25" t="n">
        <f aca="false">IF(A53&lt;=$B$21,Budget!$F$70,Budget!$F$71)+IF(A53&gt;$B$24,$B$25,0)</f>
        <v>2503.02666666667</v>
      </c>
      <c r="C53" s="12" t="n">
        <f aca="false">IF(A53=$B$23,$B$22,0)</f>
        <v>0</v>
      </c>
      <c r="D53" s="12" t="n">
        <f aca="false">B53+C53</f>
        <v>2503.02666666667</v>
      </c>
      <c r="E53" s="12" t="n">
        <f aca="false">H52</f>
        <v>0</v>
      </c>
      <c r="F53" s="12" t="n">
        <f aca="false">E53*$B$6/12</f>
        <v>0</v>
      </c>
      <c r="G53" s="12" t="n">
        <f aca="false">MIN(E53+F53,MAX(D53-K53,0))</f>
        <v>0</v>
      </c>
      <c r="H53" s="12" t="n">
        <f aca="false">E53+F53-G53</f>
        <v>0</v>
      </c>
      <c r="I53" s="12" t="n">
        <f aca="false">M52</f>
        <v>0</v>
      </c>
      <c r="J53" s="12" t="n">
        <f aca="false">I53*$B$8/12</f>
        <v>0</v>
      </c>
      <c r="K53" s="12" t="n">
        <f aca="false">MIN(I53+J53,J53+$B$9*I53)</f>
        <v>0</v>
      </c>
      <c r="L53" s="12" t="n">
        <f aca="false">MIN(I53+J53,D53-G53)</f>
        <v>0</v>
      </c>
      <c r="M53" s="12" t="n">
        <f aca="false">I53+J53-L53</f>
        <v>0</v>
      </c>
      <c r="N53" s="12" t="n">
        <f aca="false">P52</f>
        <v>51063.6872120404</v>
      </c>
      <c r="O53" s="12" t="n">
        <f aca="false">MIN(MAX(D53-G53-L53,0),MAX($B$15-$B$18-N53,0))</f>
        <v>2503.02666666667</v>
      </c>
      <c r="P53" s="12" t="n">
        <f aca="false">N53+O53</f>
        <v>53566.713878707</v>
      </c>
      <c r="Q53" s="5" t="n">
        <f aca="false">IF(H53&lt;=0.005,1,0)</f>
        <v>1</v>
      </c>
      <c r="R53" s="5" t="n">
        <f aca="false">IF(M53&lt;=0.005,1,0)</f>
        <v>1</v>
      </c>
      <c r="S53" s="5" t="n">
        <f aca="false">IF(AND(Q53=1,R53=1),1,0)</f>
        <v>1</v>
      </c>
      <c r="T53" s="5" t="n">
        <f aca="false">IF(P53&gt;=$B$20,1,0)</f>
        <v>1</v>
      </c>
      <c r="U53" s="5" t="n">
        <f aca="false">IF(P53+$B$18&gt;=$B$15-0.5,1,0)</f>
        <v>0</v>
      </c>
      <c r="V53" s="12" t="n">
        <f aca="false">MAX(D53-G53-L53,0)-O53</f>
        <v>0</v>
      </c>
      <c r="W53" s="12" t="n">
        <f aca="false">P53+$B$18</f>
        <v>69827.463878707</v>
      </c>
    </row>
    <row r="54" customFormat="false" ht="15" hidden="false" customHeight="false" outlineLevel="0" collapsed="false">
      <c r="A54" s="30" t="n">
        <v>47088</v>
      </c>
      <c r="B54" s="25" t="n">
        <f aca="false">IF(A54&lt;=$B$21,Budget!$F$70,Budget!$F$71)+IF(A54&gt;$B$24,$B$25,0)</f>
        <v>2503.02666666667</v>
      </c>
      <c r="C54" s="12" t="n">
        <f aca="false">IF(A54=$B$23,$B$22,0)</f>
        <v>0</v>
      </c>
      <c r="D54" s="12" t="n">
        <f aca="false">B54+C54</f>
        <v>2503.02666666667</v>
      </c>
      <c r="E54" s="12" t="n">
        <f aca="false">H53</f>
        <v>0</v>
      </c>
      <c r="F54" s="12" t="n">
        <f aca="false">E54*$B$6/12</f>
        <v>0</v>
      </c>
      <c r="G54" s="12" t="n">
        <f aca="false">MIN(E54+F54,MAX(D54-K54,0))</f>
        <v>0</v>
      </c>
      <c r="H54" s="12" t="n">
        <f aca="false">E54+F54-G54</f>
        <v>0</v>
      </c>
      <c r="I54" s="12" t="n">
        <f aca="false">M53</f>
        <v>0</v>
      </c>
      <c r="J54" s="12" t="n">
        <f aca="false">I54*$B$8/12</f>
        <v>0</v>
      </c>
      <c r="K54" s="12" t="n">
        <f aca="false">MIN(I54+J54,J54+$B$9*I54)</f>
        <v>0</v>
      </c>
      <c r="L54" s="12" t="n">
        <f aca="false">MIN(I54+J54,D54-G54)</f>
        <v>0</v>
      </c>
      <c r="M54" s="12" t="n">
        <f aca="false">I54+J54-L54</f>
        <v>0</v>
      </c>
      <c r="N54" s="12" t="n">
        <f aca="false">P53</f>
        <v>53566.713878707</v>
      </c>
      <c r="O54" s="12" t="n">
        <f aca="false">MIN(MAX(D54-G54-L54,0),MAX($B$15-$B$18-N54,0))</f>
        <v>2503.02666666667</v>
      </c>
      <c r="P54" s="12" t="n">
        <f aca="false">N54+O54</f>
        <v>56069.7405453737</v>
      </c>
      <c r="Q54" s="5" t="n">
        <f aca="false">IF(H54&lt;=0.005,1,0)</f>
        <v>1</v>
      </c>
      <c r="R54" s="5" t="n">
        <f aca="false">IF(M54&lt;=0.005,1,0)</f>
        <v>1</v>
      </c>
      <c r="S54" s="5" t="n">
        <f aca="false">IF(AND(Q54=1,R54=1),1,0)</f>
        <v>1</v>
      </c>
      <c r="T54" s="5" t="n">
        <f aca="false">IF(P54&gt;=$B$20,1,0)</f>
        <v>1</v>
      </c>
      <c r="U54" s="5" t="n">
        <f aca="false">IF(P54+$B$18&gt;=$B$15-0.5,1,0)</f>
        <v>0</v>
      </c>
      <c r="V54" s="12" t="n">
        <f aca="false">MAX(D54-G54-L54,0)-O54</f>
        <v>0</v>
      </c>
      <c r="W54" s="12" t="n">
        <f aca="false">P54+$B$18</f>
        <v>72330.4905453737</v>
      </c>
    </row>
    <row r="55" customFormat="false" ht="15" hidden="false" customHeight="false" outlineLevel="0" collapsed="false">
      <c r="A55" s="30" t="n">
        <v>47119</v>
      </c>
      <c r="B55" s="25" t="n">
        <f aca="false">IF(A55&lt;=$B$21,Budget!$F$70,Budget!$F$71)+IF(A55&gt;$B$24,$B$25,0)</f>
        <v>2503.02666666667</v>
      </c>
      <c r="C55" s="12" t="n">
        <f aca="false">IF(A55=$B$23,$B$22,0)</f>
        <v>0</v>
      </c>
      <c r="D55" s="12" t="n">
        <f aca="false">B55+C55</f>
        <v>2503.02666666667</v>
      </c>
      <c r="E55" s="12" t="n">
        <f aca="false">H54</f>
        <v>0</v>
      </c>
      <c r="F55" s="12" t="n">
        <f aca="false">E55*$B$6/12</f>
        <v>0</v>
      </c>
      <c r="G55" s="12" t="n">
        <f aca="false">MIN(E55+F55,MAX(D55-K55,0))</f>
        <v>0</v>
      </c>
      <c r="H55" s="12" t="n">
        <f aca="false">E55+F55-G55</f>
        <v>0</v>
      </c>
      <c r="I55" s="12" t="n">
        <f aca="false">M54</f>
        <v>0</v>
      </c>
      <c r="J55" s="12" t="n">
        <f aca="false">I55*$B$8/12</f>
        <v>0</v>
      </c>
      <c r="K55" s="12" t="n">
        <f aca="false">MIN(I55+J55,J55+$B$9*I55)</f>
        <v>0</v>
      </c>
      <c r="L55" s="12" t="n">
        <f aca="false">MIN(I55+J55,D55-G55)</f>
        <v>0</v>
      </c>
      <c r="M55" s="12" t="n">
        <f aca="false">I55+J55-L55</f>
        <v>0</v>
      </c>
      <c r="N55" s="12" t="n">
        <f aca="false">P54</f>
        <v>56069.7405453737</v>
      </c>
      <c r="O55" s="12" t="n">
        <f aca="false">MIN(MAX(D55-G55-L55,0),MAX($B$15-$B$18-N55,0))</f>
        <v>2503.02666666667</v>
      </c>
      <c r="P55" s="12" t="n">
        <f aca="false">N55+O55</f>
        <v>58572.7672120404</v>
      </c>
      <c r="Q55" s="5" t="n">
        <f aca="false">IF(H55&lt;=0.005,1,0)</f>
        <v>1</v>
      </c>
      <c r="R55" s="5" t="n">
        <f aca="false">IF(M55&lt;=0.005,1,0)</f>
        <v>1</v>
      </c>
      <c r="S55" s="5" t="n">
        <f aca="false">IF(AND(Q55=1,R55=1),1,0)</f>
        <v>1</v>
      </c>
      <c r="T55" s="5" t="n">
        <f aca="false">IF(P55&gt;=$B$20,1,0)</f>
        <v>1</v>
      </c>
      <c r="U55" s="5" t="n">
        <f aca="false">IF(P55+$B$18&gt;=$B$15-0.5,1,0)</f>
        <v>0</v>
      </c>
      <c r="V55" s="12" t="n">
        <f aca="false">MAX(D55-G55-L55,0)-O55</f>
        <v>0</v>
      </c>
      <c r="W55" s="12" t="n">
        <f aca="false">P55+$B$18</f>
        <v>74833.5172120404</v>
      </c>
    </row>
    <row r="56" customFormat="false" ht="15" hidden="false" customHeight="false" outlineLevel="0" collapsed="false">
      <c r="A56" s="30" t="n">
        <v>47150</v>
      </c>
      <c r="B56" s="25" t="n">
        <f aca="false">IF(A56&lt;=$B$21,Budget!$F$70,Budget!$F$71)+IF(A56&gt;$B$24,$B$25,0)</f>
        <v>2845.02666666667</v>
      </c>
      <c r="C56" s="12" t="n">
        <f aca="false">IF(A56=$B$23,$B$22,0)</f>
        <v>0</v>
      </c>
      <c r="D56" s="12" t="n">
        <f aca="false">B56+C56</f>
        <v>2845.02666666667</v>
      </c>
      <c r="E56" s="12" t="n">
        <f aca="false">H55</f>
        <v>0</v>
      </c>
      <c r="F56" s="12" t="n">
        <f aca="false">E56*$B$6/12</f>
        <v>0</v>
      </c>
      <c r="G56" s="12" t="n">
        <f aca="false">MIN(E56+F56,MAX(D56-K56,0))</f>
        <v>0</v>
      </c>
      <c r="H56" s="12" t="n">
        <f aca="false">E56+F56-G56</f>
        <v>0</v>
      </c>
      <c r="I56" s="12" t="n">
        <f aca="false">M55</f>
        <v>0</v>
      </c>
      <c r="J56" s="12" t="n">
        <f aca="false">I56*$B$8/12</f>
        <v>0</v>
      </c>
      <c r="K56" s="12" t="n">
        <f aca="false">MIN(I56+J56,J56+$B$9*I56)</f>
        <v>0</v>
      </c>
      <c r="L56" s="12" t="n">
        <f aca="false">MIN(I56+J56,D56-G56)</f>
        <v>0</v>
      </c>
      <c r="M56" s="12" t="n">
        <f aca="false">I56+J56-L56</f>
        <v>0</v>
      </c>
      <c r="N56" s="12" t="n">
        <f aca="false">P55</f>
        <v>58572.7672120404</v>
      </c>
      <c r="O56" s="12" t="n">
        <f aca="false">MIN(MAX(D56-G56-L56,0),MAX($B$15-$B$18-N56,0))</f>
        <v>2845.02666666667</v>
      </c>
      <c r="P56" s="12" t="n">
        <f aca="false">N56+O56</f>
        <v>61417.7938787071</v>
      </c>
      <c r="Q56" s="5" t="n">
        <f aca="false">IF(H56&lt;=0.005,1,0)</f>
        <v>1</v>
      </c>
      <c r="R56" s="5" t="n">
        <f aca="false">IF(M56&lt;=0.005,1,0)</f>
        <v>1</v>
      </c>
      <c r="S56" s="5" t="n">
        <f aca="false">IF(AND(Q56=1,R56=1),1,0)</f>
        <v>1</v>
      </c>
      <c r="T56" s="5" t="n">
        <f aca="false">IF(P56&gt;=$B$20,1,0)</f>
        <v>1</v>
      </c>
      <c r="U56" s="5" t="n">
        <f aca="false">IF(P56+$B$18&gt;=$B$15-0.5,1,0)</f>
        <v>0</v>
      </c>
      <c r="V56" s="12" t="n">
        <f aca="false">MAX(D56-G56-L56,0)-O56</f>
        <v>0</v>
      </c>
      <c r="W56" s="12" t="n">
        <f aca="false">P56+$B$18</f>
        <v>77678.5438787071</v>
      </c>
    </row>
    <row r="57" customFormat="false" ht="15" hidden="false" customHeight="false" outlineLevel="0" collapsed="false">
      <c r="A57" s="30" t="n">
        <v>47178</v>
      </c>
      <c r="B57" s="25" t="n">
        <f aca="false">IF(A57&lt;=$B$21,Budget!$F$70,Budget!$F$71)+IF(A57&gt;$B$24,$B$25,0)</f>
        <v>2845.02666666667</v>
      </c>
      <c r="C57" s="12" t="n">
        <f aca="false">IF(A57=$B$23,$B$22,0)</f>
        <v>0</v>
      </c>
      <c r="D57" s="12" t="n">
        <f aca="false">B57+C57</f>
        <v>2845.02666666667</v>
      </c>
      <c r="E57" s="12" t="n">
        <f aca="false">H56</f>
        <v>0</v>
      </c>
      <c r="F57" s="12" t="n">
        <f aca="false">E57*$B$6/12</f>
        <v>0</v>
      </c>
      <c r="G57" s="12" t="n">
        <f aca="false">MIN(E57+F57,MAX(D57-K57,0))</f>
        <v>0</v>
      </c>
      <c r="H57" s="12" t="n">
        <f aca="false">E57+F57-G57</f>
        <v>0</v>
      </c>
      <c r="I57" s="12" t="n">
        <f aca="false">M56</f>
        <v>0</v>
      </c>
      <c r="J57" s="12" t="n">
        <f aca="false">I57*$B$8/12</f>
        <v>0</v>
      </c>
      <c r="K57" s="12" t="n">
        <f aca="false">MIN(I57+J57,J57+$B$9*I57)</f>
        <v>0</v>
      </c>
      <c r="L57" s="12" t="n">
        <f aca="false">MIN(I57+J57,D57-G57)</f>
        <v>0</v>
      </c>
      <c r="M57" s="12" t="n">
        <f aca="false">I57+J57-L57</f>
        <v>0</v>
      </c>
      <c r="N57" s="12" t="n">
        <f aca="false">P56</f>
        <v>61417.7938787071</v>
      </c>
      <c r="O57" s="12" t="n">
        <f aca="false">MIN(MAX(D57-G57-L57,0),MAX($B$15-$B$18-N57,0))</f>
        <v>2845.02666666667</v>
      </c>
      <c r="P57" s="12" t="n">
        <f aca="false">N57+O57</f>
        <v>64262.8205453737</v>
      </c>
      <c r="Q57" s="5" t="n">
        <f aca="false">IF(H57&lt;=0.005,1,0)</f>
        <v>1</v>
      </c>
      <c r="R57" s="5" t="n">
        <f aca="false">IF(M57&lt;=0.005,1,0)</f>
        <v>1</v>
      </c>
      <c r="S57" s="5" t="n">
        <f aca="false">IF(AND(Q57=1,R57=1),1,0)</f>
        <v>1</v>
      </c>
      <c r="T57" s="5" t="n">
        <f aca="false">IF(P57&gt;=$B$20,1,0)</f>
        <v>1</v>
      </c>
      <c r="U57" s="5" t="n">
        <f aca="false">IF(P57+$B$18&gt;=$B$15-0.5,1,0)</f>
        <v>0</v>
      </c>
      <c r="V57" s="12" t="n">
        <f aca="false">MAX(D57-G57-L57,0)-O57</f>
        <v>0</v>
      </c>
      <c r="W57" s="12" t="n">
        <f aca="false">P57+$B$18</f>
        <v>80523.5705453737</v>
      </c>
    </row>
    <row r="58" customFormat="false" ht="15" hidden="false" customHeight="false" outlineLevel="0" collapsed="false">
      <c r="A58" s="30" t="n">
        <v>47209</v>
      </c>
      <c r="B58" s="25" t="n">
        <f aca="false">IF(A58&lt;=$B$21,Budget!$F$70,Budget!$F$71)+IF(A58&gt;$B$24,$B$25,0)</f>
        <v>2845.02666666667</v>
      </c>
      <c r="C58" s="12" t="n">
        <f aca="false">IF(A58=$B$23,$B$22,0)</f>
        <v>0</v>
      </c>
      <c r="D58" s="12" t="n">
        <f aca="false">B58+C58</f>
        <v>2845.02666666667</v>
      </c>
      <c r="E58" s="12" t="n">
        <f aca="false">H57</f>
        <v>0</v>
      </c>
      <c r="F58" s="12" t="n">
        <f aca="false">E58*$B$6/12</f>
        <v>0</v>
      </c>
      <c r="G58" s="12" t="n">
        <f aca="false">MIN(E58+F58,MAX(D58-K58,0))</f>
        <v>0</v>
      </c>
      <c r="H58" s="12" t="n">
        <f aca="false">E58+F58-G58</f>
        <v>0</v>
      </c>
      <c r="I58" s="12" t="n">
        <f aca="false">M57</f>
        <v>0</v>
      </c>
      <c r="J58" s="12" t="n">
        <f aca="false">I58*$B$8/12</f>
        <v>0</v>
      </c>
      <c r="K58" s="12" t="n">
        <f aca="false">MIN(I58+J58,J58+$B$9*I58)</f>
        <v>0</v>
      </c>
      <c r="L58" s="12" t="n">
        <f aca="false">MIN(I58+J58,D58-G58)</f>
        <v>0</v>
      </c>
      <c r="M58" s="12" t="n">
        <f aca="false">I58+J58-L58</f>
        <v>0</v>
      </c>
      <c r="N58" s="12" t="n">
        <f aca="false">P57</f>
        <v>64262.8205453737</v>
      </c>
      <c r="O58" s="12" t="n">
        <f aca="false">MIN(MAX(D58-G58-L58,0),MAX($B$15-$B$18-N58,0))</f>
        <v>2845.02666666667</v>
      </c>
      <c r="P58" s="12" t="n">
        <f aca="false">N58+O58</f>
        <v>67107.8472120404</v>
      </c>
      <c r="Q58" s="5" t="n">
        <f aca="false">IF(H58&lt;=0.005,1,0)</f>
        <v>1</v>
      </c>
      <c r="R58" s="5" t="n">
        <f aca="false">IF(M58&lt;=0.005,1,0)</f>
        <v>1</v>
      </c>
      <c r="S58" s="5" t="n">
        <f aca="false">IF(AND(Q58=1,R58=1),1,0)</f>
        <v>1</v>
      </c>
      <c r="T58" s="5" t="n">
        <f aca="false">IF(P58&gt;=$B$20,1,0)</f>
        <v>1</v>
      </c>
      <c r="U58" s="5" t="n">
        <f aca="false">IF(P58+$B$18&gt;=$B$15-0.5,1,0)</f>
        <v>0</v>
      </c>
      <c r="V58" s="12" t="n">
        <f aca="false">MAX(D58-G58-L58,0)-O58</f>
        <v>0</v>
      </c>
      <c r="W58" s="12" t="n">
        <f aca="false">P58+$B$18</f>
        <v>83368.5972120404</v>
      </c>
    </row>
    <row r="59" customFormat="false" ht="15" hidden="false" customHeight="false" outlineLevel="0" collapsed="false">
      <c r="A59" s="30" t="n">
        <v>47239</v>
      </c>
      <c r="B59" s="25" t="n">
        <f aca="false">IF(A59&lt;=$B$21,Budget!$F$70,Budget!$F$71)+IF(A59&gt;$B$24,$B$25,0)</f>
        <v>2845.02666666667</v>
      </c>
      <c r="C59" s="12" t="n">
        <f aca="false">IF(A59=$B$23,$B$22,0)</f>
        <v>0</v>
      </c>
      <c r="D59" s="12" t="n">
        <f aca="false">B59+C59</f>
        <v>2845.02666666667</v>
      </c>
      <c r="E59" s="12" t="n">
        <f aca="false">H58</f>
        <v>0</v>
      </c>
      <c r="F59" s="12" t="n">
        <f aca="false">E59*$B$6/12</f>
        <v>0</v>
      </c>
      <c r="G59" s="12" t="n">
        <f aca="false">MIN(E59+F59,MAX(D59-K59,0))</f>
        <v>0</v>
      </c>
      <c r="H59" s="12" t="n">
        <f aca="false">E59+F59-G59</f>
        <v>0</v>
      </c>
      <c r="I59" s="12" t="n">
        <f aca="false">M58</f>
        <v>0</v>
      </c>
      <c r="J59" s="12" t="n">
        <f aca="false">I59*$B$8/12</f>
        <v>0</v>
      </c>
      <c r="K59" s="12" t="n">
        <f aca="false">MIN(I59+J59,J59+$B$9*I59)</f>
        <v>0</v>
      </c>
      <c r="L59" s="12" t="n">
        <f aca="false">MIN(I59+J59,D59-G59)</f>
        <v>0</v>
      </c>
      <c r="M59" s="12" t="n">
        <f aca="false">I59+J59-L59</f>
        <v>0</v>
      </c>
      <c r="N59" s="12" t="n">
        <f aca="false">P58</f>
        <v>67107.8472120404</v>
      </c>
      <c r="O59" s="12" t="n">
        <f aca="false">MIN(MAX(D59-G59-L59,0),MAX($B$15-$B$18-N59,0))</f>
        <v>2845.02666666667</v>
      </c>
      <c r="P59" s="12" t="n">
        <f aca="false">N59+O59</f>
        <v>69952.8738787071</v>
      </c>
      <c r="Q59" s="5" t="n">
        <f aca="false">IF(H59&lt;=0.005,1,0)</f>
        <v>1</v>
      </c>
      <c r="R59" s="5" t="n">
        <f aca="false">IF(M59&lt;=0.005,1,0)</f>
        <v>1</v>
      </c>
      <c r="S59" s="5" t="n">
        <f aca="false">IF(AND(Q59=1,R59=1),1,0)</f>
        <v>1</v>
      </c>
      <c r="T59" s="5" t="n">
        <f aca="false">IF(P59&gt;=$B$20,1,0)</f>
        <v>1</v>
      </c>
      <c r="U59" s="5" t="n">
        <f aca="false">IF(P59+$B$18&gt;=$B$15-0.5,1,0)</f>
        <v>0</v>
      </c>
      <c r="V59" s="12" t="n">
        <f aca="false">MAX(D59-G59-L59,0)-O59</f>
        <v>0</v>
      </c>
      <c r="W59" s="12" t="n">
        <f aca="false">P59+$B$18</f>
        <v>86213.6238787071</v>
      </c>
    </row>
    <row r="60" customFormat="false" ht="15" hidden="false" customHeight="false" outlineLevel="0" collapsed="false">
      <c r="A60" s="30" t="n">
        <v>47270</v>
      </c>
      <c r="B60" s="25" t="n">
        <f aca="false">IF(A60&lt;=$B$21,Budget!$F$70,Budget!$F$71)+IF(A60&gt;$B$24,$B$25,0)</f>
        <v>2845.02666666667</v>
      </c>
      <c r="C60" s="12" t="n">
        <f aca="false">IF(A60=$B$23,$B$22,0)</f>
        <v>0</v>
      </c>
      <c r="D60" s="12" t="n">
        <f aca="false">B60+C60</f>
        <v>2845.02666666667</v>
      </c>
      <c r="E60" s="12" t="n">
        <f aca="false">H59</f>
        <v>0</v>
      </c>
      <c r="F60" s="12" t="n">
        <f aca="false">E60*$B$6/12</f>
        <v>0</v>
      </c>
      <c r="G60" s="12" t="n">
        <f aca="false">MIN(E60+F60,MAX(D60-K60,0))</f>
        <v>0</v>
      </c>
      <c r="H60" s="12" t="n">
        <f aca="false">E60+F60-G60</f>
        <v>0</v>
      </c>
      <c r="I60" s="12" t="n">
        <f aca="false">M59</f>
        <v>0</v>
      </c>
      <c r="J60" s="12" t="n">
        <f aca="false">I60*$B$8/12</f>
        <v>0</v>
      </c>
      <c r="K60" s="12" t="n">
        <f aca="false">MIN(I60+J60,J60+$B$9*I60)</f>
        <v>0</v>
      </c>
      <c r="L60" s="12" t="n">
        <f aca="false">MIN(I60+J60,D60-G60)</f>
        <v>0</v>
      </c>
      <c r="M60" s="12" t="n">
        <f aca="false">I60+J60-L60</f>
        <v>0</v>
      </c>
      <c r="N60" s="12" t="n">
        <f aca="false">P59</f>
        <v>69952.8738787071</v>
      </c>
      <c r="O60" s="12" t="n">
        <f aca="false">MIN(MAX(D60-G60-L60,0),MAX($B$15-$B$18-N60,0))</f>
        <v>2845.02666666667</v>
      </c>
      <c r="P60" s="12" t="n">
        <f aca="false">N60+O60</f>
        <v>72797.9005453738</v>
      </c>
      <c r="Q60" s="5" t="n">
        <f aca="false">IF(H60&lt;=0.005,1,0)</f>
        <v>1</v>
      </c>
      <c r="R60" s="5" t="n">
        <f aca="false">IF(M60&lt;=0.005,1,0)</f>
        <v>1</v>
      </c>
      <c r="S60" s="5" t="n">
        <f aca="false">IF(AND(Q60=1,R60=1),1,0)</f>
        <v>1</v>
      </c>
      <c r="T60" s="5" t="n">
        <f aca="false">IF(P60&gt;=$B$20,1,0)</f>
        <v>1</v>
      </c>
      <c r="U60" s="5" t="n">
        <f aca="false">IF(P60+$B$18&gt;=$B$15-0.5,1,0)</f>
        <v>0</v>
      </c>
      <c r="V60" s="12" t="n">
        <f aca="false">MAX(D60-G60-L60,0)-O60</f>
        <v>0</v>
      </c>
      <c r="W60" s="12" t="n">
        <f aca="false">P60+$B$18</f>
        <v>89058.6505453738</v>
      </c>
    </row>
    <row r="61" customFormat="false" ht="15" hidden="false" customHeight="false" outlineLevel="0" collapsed="false">
      <c r="A61" s="30" t="n">
        <v>47300</v>
      </c>
      <c r="B61" s="25" t="n">
        <f aca="false">IF(A61&lt;=$B$21,Budget!$F$70,Budget!$F$71)+IF(A61&gt;$B$24,$B$25,0)</f>
        <v>2845.02666666667</v>
      </c>
      <c r="C61" s="12" t="n">
        <f aca="false">IF(A61=$B$23,$B$22,0)</f>
        <v>0</v>
      </c>
      <c r="D61" s="12" t="n">
        <f aca="false">B61+C61</f>
        <v>2845.02666666667</v>
      </c>
      <c r="E61" s="12" t="n">
        <f aca="false">H60</f>
        <v>0</v>
      </c>
      <c r="F61" s="12" t="n">
        <f aca="false">E61*$B$6/12</f>
        <v>0</v>
      </c>
      <c r="G61" s="12" t="n">
        <f aca="false">MIN(E61+F61,MAX(D61-K61,0))</f>
        <v>0</v>
      </c>
      <c r="H61" s="12" t="n">
        <f aca="false">E61+F61-G61</f>
        <v>0</v>
      </c>
      <c r="I61" s="12" t="n">
        <f aca="false">M60</f>
        <v>0</v>
      </c>
      <c r="J61" s="12" t="n">
        <f aca="false">I61*$B$8/12</f>
        <v>0</v>
      </c>
      <c r="K61" s="12" t="n">
        <f aca="false">MIN(I61+J61,J61+$B$9*I61)</f>
        <v>0</v>
      </c>
      <c r="L61" s="12" t="n">
        <f aca="false">MIN(I61+J61,D61-G61)</f>
        <v>0</v>
      </c>
      <c r="M61" s="12" t="n">
        <f aca="false">I61+J61-L61</f>
        <v>0</v>
      </c>
      <c r="N61" s="12" t="n">
        <f aca="false">P60</f>
        <v>72797.9005453738</v>
      </c>
      <c r="O61" s="12" t="n">
        <f aca="false">MIN(MAX(D61-G61-L61,0),MAX($B$15-$B$18-N61,0))</f>
        <v>2845.02666666667</v>
      </c>
      <c r="P61" s="12" t="n">
        <f aca="false">N61+O61</f>
        <v>75642.9272120404</v>
      </c>
      <c r="Q61" s="5" t="n">
        <f aca="false">IF(H61&lt;=0.005,1,0)</f>
        <v>1</v>
      </c>
      <c r="R61" s="5" t="n">
        <f aca="false">IF(M61&lt;=0.005,1,0)</f>
        <v>1</v>
      </c>
      <c r="S61" s="5" t="n">
        <f aca="false">IF(AND(Q61=1,R61=1),1,0)</f>
        <v>1</v>
      </c>
      <c r="T61" s="5" t="n">
        <f aca="false">IF(P61&gt;=$B$20,1,0)</f>
        <v>1</v>
      </c>
      <c r="U61" s="5" t="n">
        <f aca="false">IF(P61+$B$18&gt;=$B$15-0.5,1,0)</f>
        <v>0</v>
      </c>
      <c r="V61" s="12" t="n">
        <f aca="false">MAX(D61-G61-L61,0)-O61</f>
        <v>0</v>
      </c>
      <c r="W61" s="12" t="n">
        <f aca="false">P61+$B$18</f>
        <v>91903.6772120404</v>
      </c>
    </row>
    <row r="62" customFormat="false" ht="15" hidden="false" customHeight="false" outlineLevel="0" collapsed="false">
      <c r="A62" s="30" t="n">
        <v>47331</v>
      </c>
      <c r="B62" s="25" t="n">
        <f aca="false">IF(A62&lt;=$B$21,Budget!$F$70,Budget!$F$71)+IF(A62&gt;$B$24,$B$25,0)</f>
        <v>2845.02666666667</v>
      </c>
      <c r="C62" s="12" t="n">
        <f aca="false">IF(A62=$B$23,$B$22,0)</f>
        <v>0</v>
      </c>
      <c r="D62" s="12" t="n">
        <f aca="false">B62+C62</f>
        <v>2845.02666666667</v>
      </c>
      <c r="E62" s="12" t="n">
        <f aca="false">H61</f>
        <v>0</v>
      </c>
      <c r="F62" s="12" t="n">
        <f aca="false">E62*$B$6/12</f>
        <v>0</v>
      </c>
      <c r="G62" s="12" t="n">
        <f aca="false">MIN(E62+F62,MAX(D62-K62,0))</f>
        <v>0</v>
      </c>
      <c r="H62" s="12" t="n">
        <f aca="false">E62+F62-G62</f>
        <v>0</v>
      </c>
      <c r="I62" s="12" t="n">
        <f aca="false">M61</f>
        <v>0</v>
      </c>
      <c r="J62" s="12" t="n">
        <f aca="false">I62*$B$8/12</f>
        <v>0</v>
      </c>
      <c r="K62" s="12" t="n">
        <f aca="false">MIN(I62+J62,J62+$B$9*I62)</f>
        <v>0</v>
      </c>
      <c r="L62" s="12" t="n">
        <f aca="false">MIN(I62+J62,D62-G62)</f>
        <v>0</v>
      </c>
      <c r="M62" s="12" t="n">
        <f aca="false">I62+J62-L62</f>
        <v>0</v>
      </c>
      <c r="N62" s="12" t="n">
        <f aca="false">P61</f>
        <v>75642.9272120404</v>
      </c>
      <c r="O62" s="12" t="n">
        <f aca="false">MIN(MAX(D62-G62-L62,0),MAX($B$15-$B$18-N62,0))</f>
        <v>2845.02666666667</v>
      </c>
      <c r="P62" s="12" t="n">
        <f aca="false">N62+O62</f>
        <v>78487.9538787071</v>
      </c>
      <c r="Q62" s="5" t="n">
        <f aca="false">IF(H62&lt;=0.005,1,0)</f>
        <v>1</v>
      </c>
      <c r="R62" s="5" t="n">
        <f aca="false">IF(M62&lt;=0.005,1,0)</f>
        <v>1</v>
      </c>
      <c r="S62" s="5" t="n">
        <f aca="false">IF(AND(Q62=1,R62=1),1,0)</f>
        <v>1</v>
      </c>
      <c r="T62" s="5" t="n">
        <f aca="false">IF(P62&gt;=$B$20,1,0)</f>
        <v>1</v>
      </c>
      <c r="U62" s="5" t="n">
        <f aca="false">IF(P62+$B$18&gt;=$B$15-0.5,1,0)</f>
        <v>0</v>
      </c>
      <c r="V62" s="12" t="n">
        <f aca="false">MAX(D62-G62-L62,0)-O62</f>
        <v>0</v>
      </c>
      <c r="W62" s="12" t="n">
        <f aca="false">P62+$B$18</f>
        <v>94748.7038787071</v>
      </c>
    </row>
    <row r="63" customFormat="false" ht="15" hidden="false" customHeight="false" outlineLevel="0" collapsed="false">
      <c r="A63" s="30" t="n">
        <v>47362</v>
      </c>
      <c r="B63" s="25" t="n">
        <f aca="false">IF(A63&lt;=$B$21,Budget!$F$70,Budget!$F$71)+IF(A63&gt;$B$24,$B$25,0)</f>
        <v>2845.02666666667</v>
      </c>
      <c r="C63" s="12" t="n">
        <f aca="false">IF(A63=$B$23,$B$22,0)</f>
        <v>0</v>
      </c>
      <c r="D63" s="12" t="n">
        <f aca="false">B63+C63</f>
        <v>2845.02666666667</v>
      </c>
      <c r="E63" s="12" t="n">
        <f aca="false">H62</f>
        <v>0</v>
      </c>
      <c r="F63" s="12" t="n">
        <f aca="false">E63*$B$6/12</f>
        <v>0</v>
      </c>
      <c r="G63" s="12" t="n">
        <f aca="false">MIN(E63+F63,MAX(D63-K63,0))</f>
        <v>0</v>
      </c>
      <c r="H63" s="12" t="n">
        <f aca="false">E63+F63-G63</f>
        <v>0</v>
      </c>
      <c r="I63" s="12" t="n">
        <f aca="false">M62</f>
        <v>0</v>
      </c>
      <c r="J63" s="12" t="n">
        <f aca="false">I63*$B$8/12</f>
        <v>0</v>
      </c>
      <c r="K63" s="12" t="n">
        <f aca="false">MIN(I63+J63,J63+$B$9*I63)</f>
        <v>0</v>
      </c>
      <c r="L63" s="12" t="n">
        <f aca="false">MIN(I63+J63,D63-G63)</f>
        <v>0</v>
      </c>
      <c r="M63" s="12" t="n">
        <f aca="false">I63+J63-L63</f>
        <v>0</v>
      </c>
      <c r="N63" s="12" t="n">
        <f aca="false">P62</f>
        <v>78487.9538787071</v>
      </c>
      <c r="O63" s="12" t="n">
        <f aca="false">MIN(MAX(D63-G63-L63,0),MAX($B$15-$B$18-N63,0))</f>
        <v>2845.02666666667</v>
      </c>
      <c r="P63" s="12" t="n">
        <f aca="false">N63+O63</f>
        <v>81332.9805453738</v>
      </c>
      <c r="Q63" s="5" t="n">
        <f aca="false">IF(H63&lt;=0.005,1,0)</f>
        <v>1</v>
      </c>
      <c r="R63" s="5" t="n">
        <f aca="false">IF(M63&lt;=0.005,1,0)</f>
        <v>1</v>
      </c>
      <c r="S63" s="5" t="n">
        <f aca="false">IF(AND(Q63=1,R63=1),1,0)</f>
        <v>1</v>
      </c>
      <c r="T63" s="5" t="n">
        <f aca="false">IF(P63&gt;=$B$20,1,0)</f>
        <v>1</v>
      </c>
      <c r="U63" s="5" t="n">
        <f aca="false">IF(P63+$B$18&gt;=$B$15-0.5,1,0)</f>
        <v>0</v>
      </c>
      <c r="V63" s="12" t="n">
        <f aca="false">MAX(D63-G63-L63,0)-O63</f>
        <v>0</v>
      </c>
      <c r="W63" s="12" t="n">
        <f aca="false">P63+$B$18</f>
        <v>97593.7305453738</v>
      </c>
    </row>
    <row r="64" customFormat="false" ht="15" hidden="false" customHeight="false" outlineLevel="0" collapsed="false">
      <c r="A64" s="30" t="n">
        <v>47392</v>
      </c>
      <c r="B64" s="25" t="n">
        <f aca="false">IF(A64&lt;=$B$21,Budget!$F$70,Budget!$F$71)+IF(A64&gt;$B$24,$B$25,0)</f>
        <v>2845.02666666667</v>
      </c>
      <c r="C64" s="12" t="n">
        <f aca="false">IF(A64=$B$23,$B$22,0)</f>
        <v>0</v>
      </c>
      <c r="D64" s="12" t="n">
        <f aca="false">B64+C64</f>
        <v>2845.02666666667</v>
      </c>
      <c r="E64" s="12" t="n">
        <f aca="false">H63</f>
        <v>0</v>
      </c>
      <c r="F64" s="12" t="n">
        <f aca="false">E64*$B$6/12</f>
        <v>0</v>
      </c>
      <c r="G64" s="12" t="n">
        <f aca="false">MIN(E64+F64,MAX(D64-K64,0))</f>
        <v>0</v>
      </c>
      <c r="H64" s="12" t="n">
        <f aca="false">E64+F64-G64</f>
        <v>0</v>
      </c>
      <c r="I64" s="12" t="n">
        <f aca="false">M63</f>
        <v>0</v>
      </c>
      <c r="J64" s="12" t="n">
        <f aca="false">I64*$B$8/12</f>
        <v>0</v>
      </c>
      <c r="K64" s="12" t="n">
        <f aca="false">MIN(I64+J64,J64+$B$9*I64)</f>
        <v>0</v>
      </c>
      <c r="L64" s="12" t="n">
        <f aca="false">MIN(I64+J64,D64-G64)</f>
        <v>0</v>
      </c>
      <c r="M64" s="12" t="n">
        <f aca="false">I64+J64-L64</f>
        <v>0</v>
      </c>
      <c r="N64" s="12" t="n">
        <f aca="false">P63</f>
        <v>81332.9805453738</v>
      </c>
      <c r="O64" s="12" t="n">
        <f aca="false">MIN(MAX(D64-G64-L64,0),MAX($B$15-$B$18-N64,0))</f>
        <v>2845.02666666667</v>
      </c>
      <c r="P64" s="12" t="n">
        <f aca="false">N64+O64</f>
        <v>84178.0072120404</v>
      </c>
      <c r="Q64" s="5" t="n">
        <f aca="false">IF(H64&lt;=0.005,1,0)</f>
        <v>1</v>
      </c>
      <c r="R64" s="5" t="n">
        <f aca="false">IF(M64&lt;=0.005,1,0)</f>
        <v>1</v>
      </c>
      <c r="S64" s="5" t="n">
        <f aca="false">IF(AND(Q64=1,R64=1),1,0)</f>
        <v>1</v>
      </c>
      <c r="T64" s="5" t="n">
        <f aca="false">IF(P64&gt;=$B$20,1,0)</f>
        <v>1</v>
      </c>
      <c r="U64" s="5" t="n">
        <f aca="false">IF(P64+$B$18&gt;=$B$15-0.5,1,0)</f>
        <v>0</v>
      </c>
      <c r="V64" s="12" t="n">
        <f aca="false">MAX(D64-G64-L64,0)-O64</f>
        <v>0</v>
      </c>
      <c r="W64" s="12" t="n">
        <f aca="false">P64+$B$18</f>
        <v>100438.75721204</v>
      </c>
    </row>
    <row r="65" customFormat="false" ht="15" hidden="false" customHeight="false" outlineLevel="0" collapsed="false">
      <c r="A65" s="30" t="n">
        <v>47423</v>
      </c>
      <c r="B65" s="25" t="n">
        <f aca="false">IF(A65&lt;=$B$21,Budget!$F$70,Budget!$F$71)+IF(A65&gt;$B$24,$B$25,0)</f>
        <v>2845.02666666667</v>
      </c>
      <c r="C65" s="12" t="n">
        <f aca="false">IF(A65=$B$23,$B$22,0)</f>
        <v>0</v>
      </c>
      <c r="D65" s="12" t="n">
        <f aca="false">B65+C65</f>
        <v>2845.02666666667</v>
      </c>
      <c r="E65" s="12" t="n">
        <f aca="false">H64</f>
        <v>0</v>
      </c>
      <c r="F65" s="12" t="n">
        <f aca="false">E65*$B$6/12</f>
        <v>0</v>
      </c>
      <c r="G65" s="12" t="n">
        <f aca="false">MIN(E65+F65,MAX(D65-K65,0))</f>
        <v>0</v>
      </c>
      <c r="H65" s="12" t="n">
        <f aca="false">E65+F65-G65</f>
        <v>0</v>
      </c>
      <c r="I65" s="12" t="n">
        <f aca="false">M64</f>
        <v>0</v>
      </c>
      <c r="J65" s="12" t="n">
        <f aca="false">I65*$B$8/12</f>
        <v>0</v>
      </c>
      <c r="K65" s="12" t="n">
        <f aca="false">MIN(I65+J65,J65+$B$9*I65)</f>
        <v>0</v>
      </c>
      <c r="L65" s="12" t="n">
        <f aca="false">MIN(I65+J65,D65-G65)</f>
        <v>0</v>
      </c>
      <c r="M65" s="12" t="n">
        <f aca="false">I65+J65-L65</f>
        <v>0</v>
      </c>
      <c r="N65" s="12" t="n">
        <f aca="false">P64</f>
        <v>84178.0072120404</v>
      </c>
      <c r="O65" s="12" t="n">
        <f aca="false">MIN(MAX(D65-G65-L65,0),MAX($B$15-$B$18-N65,0))</f>
        <v>403.242787959563</v>
      </c>
      <c r="P65" s="12" t="n">
        <f aca="false">N65+O65</f>
        <v>84581.25</v>
      </c>
      <c r="Q65" s="5" t="n">
        <f aca="false">IF(H65&lt;=0.005,1,0)</f>
        <v>1</v>
      </c>
      <c r="R65" s="5" t="n">
        <f aca="false">IF(M65&lt;=0.005,1,0)</f>
        <v>1</v>
      </c>
      <c r="S65" s="5" t="n">
        <f aca="false">IF(AND(Q65=1,R65=1),1,0)</f>
        <v>1</v>
      </c>
      <c r="T65" s="5" t="n">
        <f aca="false">IF(P65&gt;=$B$20,1,0)</f>
        <v>1</v>
      </c>
      <c r="U65" s="5" t="n">
        <f aca="false">IF(P65+$B$18&gt;=$B$15-0.5,1,0)</f>
        <v>1</v>
      </c>
      <c r="V65" s="12" t="n">
        <f aca="false">MAX(D65-G65-L65,0)-O65</f>
        <v>2441.78387870711</v>
      </c>
      <c r="W65" s="12" t="n">
        <f aca="false">P65+$B$18</f>
        <v>100842</v>
      </c>
    </row>
    <row r="66" customFormat="false" ht="15" hidden="false" customHeight="false" outlineLevel="0" collapsed="false">
      <c r="A66" s="30" t="n">
        <v>47453</v>
      </c>
      <c r="B66" s="25" t="n">
        <f aca="false">IF(A66&lt;=$B$21,Budget!$F$70,Budget!$F$71)+IF(A66&gt;$B$24,$B$25,0)</f>
        <v>2845.02666666667</v>
      </c>
      <c r="C66" s="12" t="n">
        <f aca="false">IF(A66=$B$23,$B$22,0)</f>
        <v>0</v>
      </c>
      <c r="D66" s="12" t="n">
        <f aca="false">B66+C66</f>
        <v>2845.02666666667</v>
      </c>
      <c r="E66" s="12" t="n">
        <f aca="false">H65</f>
        <v>0</v>
      </c>
      <c r="F66" s="12" t="n">
        <f aca="false">E66*$B$6/12</f>
        <v>0</v>
      </c>
      <c r="G66" s="12" t="n">
        <f aca="false">MIN(E66+F66,MAX(D66-K66,0))</f>
        <v>0</v>
      </c>
      <c r="H66" s="12" t="n">
        <f aca="false">E66+F66-G66</f>
        <v>0</v>
      </c>
      <c r="I66" s="12" t="n">
        <f aca="false">M65</f>
        <v>0</v>
      </c>
      <c r="J66" s="12" t="n">
        <f aca="false">I66*$B$8/12</f>
        <v>0</v>
      </c>
      <c r="K66" s="12" t="n">
        <f aca="false">MIN(I66+J66,J66+$B$9*I66)</f>
        <v>0</v>
      </c>
      <c r="L66" s="12" t="n">
        <f aca="false">MIN(I66+J66,D66-G66)</f>
        <v>0</v>
      </c>
      <c r="M66" s="12" t="n">
        <f aca="false">I66+J66-L66</f>
        <v>0</v>
      </c>
      <c r="N66" s="12" t="n">
        <f aca="false">P65</f>
        <v>84581.25</v>
      </c>
      <c r="O66" s="12" t="n">
        <f aca="false">MIN(MAX(D66-G66-L66,0),MAX($B$15-$B$18-N66,0))</f>
        <v>0</v>
      </c>
      <c r="P66" s="12" t="n">
        <f aca="false">N66+O66</f>
        <v>84581.25</v>
      </c>
      <c r="Q66" s="5" t="n">
        <f aca="false">IF(H66&lt;=0.005,1,0)</f>
        <v>1</v>
      </c>
      <c r="R66" s="5" t="n">
        <f aca="false">IF(M66&lt;=0.005,1,0)</f>
        <v>1</v>
      </c>
      <c r="S66" s="5" t="n">
        <f aca="false">IF(AND(Q66=1,R66=1),1,0)</f>
        <v>1</v>
      </c>
      <c r="T66" s="5" t="n">
        <f aca="false">IF(P66&gt;=$B$20,1,0)</f>
        <v>1</v>
      </c>
      <c r="U66" s="5" t="n">
        <f aca="false">IF(P66+$B$18&gt;=$B$15-0.5,1,0)</f>
        <v>1</v>
      </c>
      <c r="V66" s="12" t="n">
        <f aca="false">MAX(D66-G66-L66,0)-O66</f>
        <v>2845.02666666667</v>
      </c>
      <c r="W66" s="12" t="n">
        <f aca="false">P66+$B$18</f>
        <v>100842</v>
      </c>
    </row>
    <row r="67" customFormat="false" ht="15" hidden="false" customHeight="false" outlineLevel="0" collapsed="false">
      <c r="A67" s="30" t="n">
        <v>47484</v>
      </c>
      <c r="B67" s="25" t="n">
        <f aca="false">IF(A67&lt;=$B$21,Budget!$F$70,Budget!$F$71)+IF(A67&gt;$B$24,$B$25,0)</f>
        <v>2845.02666666667</v>
      </c>
      <c r="C67" s="12" t="n">
        <f aca="false">IF(A67=$B$23,$B$22,0)</f>
        <v>0</v>
      </c>
      <c r="D67" s="12" t="n">
        <f aca="false">B67+C67</f>
        <v>2845.02666666667</v>
      </c>
      <c r="E67" s="12" t="n">
        <f aca="false">H66</f>
        <v>0</v>
      </c>
      <c r="F67" s="12" t="n">
        <f aca="false">E67*$B$6/12</f>
        <v>0</v>
      </c>
      <c r="G67" s="12" t="n">
        <f aca="false">MIN(E67+F67,MAX(D67-K67,0))</f>
        <v>0</v>
      </c>
      <c r="H67" s="12" t="n">
        <f aca="false">E67+F67-G67</f>
        <v>0</v>
      </c>
      <c r="I67" s="12" t="n">
        <f aca="false">M66</f>
        <v>0</v>
      </c>
      <c r="J67" s="12" t="n">
        <f aca="false">I67*$B$8/12</f>
        <v>0</v>
      </c>
      <c r="K67" s="12" t="n">
        <f aca="false">MIN(I67+J67,J67+$B$9*I67)</f>
        <v>0</v>
      </c>
      <c r="L67" s="12" t="n">
        <f aca="false">MIN(I67+J67,D67-G67)</f>
        <v>0</v>
      </c>
      <c r="M67" s="12" t="n">
        <f aca="false">I67+J67-L67</f>
        <v>0</v>
      </c>
      <c r="N67" s="12" t="n">
        <f aca="false">P66</f>
        <v>84581.25</v>
      </c>
      <c r="O67" s="12" t="n">
        <f aca="false">MIN(MAX(D67-G67-L67,0),MAX($B$15-$B$18-N67,0))</f>
        <v>0</v>
      </c>
      <c r="P67" s="12" t="n">
        <f aca="false">N67+O67</f>
        <v>84581.25</v>
      </c>
      <c r="Q67" s="5" t="n">
        <f aca="false">IF(H67&lt;=0.005,1,0)</f>
        <v>1</v>
      </c>
      <c r="R67" s="5" t="n">
        <f aca="false">IF(M67&lt;=0.005,1,0)</f>
        <v>1</v>
      </c>
      <c r="S67" s="5" t="n">
        <f aca="false">IF(AND(Q67=1,R67=1),1,0)</f>
        <v>1</v>
      </c>
      <c r="T67" s="5" t="n">
        <f aca="false">IF(P67&gt;=$B$20,1,0)</f>
        <v>1</v>
      </c>
      <c r="U67" s="5" t="n">
        <f aca="false">IF(P67+$B$18&gt;=$B$15-0.5,1,0)</f>
        <v>1</v>
      </c>
      <c r="V67" s="12" t="n">
        <f aca="false">MAX(D67-G67-L67,0)-O67</f>
        <v>2845.02666666667</v>
      </c>
      <c r="W67" s="12" t="n">
        <f aca="false">P67+$B$18</f>
        <v>100842</v>
      </c>
    </row>
    <row r="68" customFormat="false" ht="15" hidden="false" customHeight="false" outlineLevel="0" collapsed="false">
      <c r="A68" s="30" t="n">
        <v>47515</v>
      </c>
      <c r="B68" s="25" t="n">
        <f aca="false">IF(A68&lt;=$B$21,Budget!$F$70,Budget!$F$71)+IF(A68&gt;$B$24,$B$25,0)</f>
        <v>2845.02666666667</v>
      </c>
      <c r="C68" s="12" t="n">
        <f aca="false">IF(A68=$B$23,$B$22,0)</f>
        <v>0</v>
      </c>
      <c r="D68" s="12" t="n">
        <f aca="false">B68+C68</f>
        <v>2845.02666666667</v>
      </c>
      <c r="E68" s="12" t="n">
        <f aca="false">H67</f>
        <v>0</v>
      </c>
      <c r="F68" s="12" t="n">
        <f aca="false">E68*$B$6/12</f>
        <v>0</v>
      </c>
      <c r="G68" s="12" t="n">
        <f aca="false">MIN(E68+F68,MAX(D68-K68,0))</f>
        <v>0</v>
      </c>
      <c r="H68" s="12" t="n">
        <f aca="false">E68+F68-G68</f>
        <v>0</v>
      </c>
      <c r="I68" s="12" t="n">
        <f aca="false">M67</f>
        <v>0</v>
      </c>
      <c r="J68" s="12" t="n">
        <f aca="false">I68*$B$8/12</f>
        <v>0</v>
      </c>
      <c r="K68" s="12" t="n">
        <f aca="false">MIN(I68+J68,J68+$B$9*I68)</f>
        <v>0</v>
      </c>
      <c r="L68" s="12" t="n">
        <f aca="false">MIN(I68+J68,D68-G68)</f>
        <v>0</v>
      </c>
      <c r="M68" s="12" t="n">
        <f aca="false">I68+J68-L68</f>
        <v>0</v>
      </c>
      <c r="N68" s="12" t="n">
        <f aca="false">P67</f>
        <v>84581.25</v>
      </c>
      <c r="O68" s="12" t="n">
        <f aca="false">MIN(MAX(D68-G68-L68,0),MAX($B$15-$B$18-N68,0))</f>
        <v>0</v>
      </c>
      <c r="P68" s="12" t="n">
        <f aca="false">N68+O68</f>
        <v>84581.25</v>
      </c>
      <c r="Q68" s="5" t="n">
        <f aca="false">IF(H68&lt;=0.005,1,0)</f>
        <v>1</v>
      </c>
      <c r="R68" s="5" t="n">
        <f aca="false">IF(M68&lt;=0.005,1,0)</f>
        <v>1</v>
      </c>
      <c r="S68" s="5" t="n">
        <f aca="false">IF(AND(Q68=1,R68=1),1,0)</f>
        <v>1</v>
      </c>
      <c r="T68" s="5" t="n">
        <f aca="false">IF(P68&gt;=$B$20,1,0)</f>
        <v>1</v>
      </c>
      <c r="U68" s="5" t="n">
        <f aca="false">IF(P68+$B$18&gt;=$B$15-0.5,1,0)</f>
        <v>1</v>
      </c>
      <c r="V68" s="12" t="n">
        <f aca="false">MAX(D68-G68-L68,0)-O68</f>
        <v>2845.02666666667</v>
      </c>
      <c r="W68" s="12" t="n">
        <f aca="false">P68+$B$18</f>
        <v>100842</v>
      </c>
    </row>
    <row r="69" customFormat="false" ht="15" hidden="false" customHeight="false" outlineLevel="0" collapsed="false">
      <c r="A69" s="30" t="n">
        <v>47543</v>
      </c>
      <c r="B69" s="25" t="n">
        <f aca="false">IF(A69&lt;=$B$21,Budget!$F$70,Budget!$F$71)+IF(A69&gt;$B$24,$B$25,0)</f>
        <v>2845.02666666667</v>
      </c>
      <c r="C69" s="12" t="n">
        <f aca="false">IF(A69=$B$23,$B$22,0)</f>
        <v>0</v>
      </c>
      <c r="D69" s="12" t="n">
        <f aca="false">B69+C69</f>
        <v>2845.02666666667</v>
      </c>
      <c r="E69" s="12" t="n">
        <f aca="false">H68</f>
        <v>0</v>
      </c>
      <c r="F69" s="12" t="n">
        <f aca="false">E69*$B$6/12</f>
        <v>0</v>
      </c>
      <c r="G69" s="12" t="n">
        <f aca="false">MIN(E69+F69,MAX(D69-K69,0))</f>
        <v>0</v>
      </c>
      <c r="H69" s="12" t="n">
        <f aca="false">E69+F69-G69</f>
        <v>0</v>
      </c>
      <c r="I69" s="12" t="n">
        <f aca="false">M68</f>
        <v>0</v>
      </c>
      <c r="J69" s="12" t="n">
        <f aca="false">I69*$B$8/12</f>
        <v>0</v>
      </c>
      <c r="K69" s="12" t="n">
        <f aca="false">MIN(I69+J69,J69+$B$9*I69)</f>
        <v>0</v>
      </c>
      <c r="L69" s="12" t="n">
        <f aca="false">MIN(I69+J69,D69-G69)</f>
        <v>0</v>
      </c>
      <c r="M69" s="12" t="n">
        <f aca="false">I69+J69-L69</f>
        <v>0</v>
      </c>
      <c r="N69" s="12" t="n">
        <f aca="false">P68</f>
        <v>84581.25</v>
      </c>
      <c r="O69" s="12" t="n">
        <f aca="false">MIN(MAX(D69-G69-L69,0),MAX($B$15-$B$18-N69,0))</f>
        <v>0</v>
      </c>
      <c r="P69" s="12" t="n">
        <f aca="false">N69+O69</f>
        <v>84581.25</v>
      </c>
      <c r="Q69" s="5" t="n">
        <f aca="false">IF(H69&lt;=0.005,1,0)</f>
        <v>1</v>
      </c>
      <c r="R69" s="5" t="n">
        <f aca="false">IF(M69&lt;=0.005,1,0)</f>
        <v>1</v>
      </c>
      <c r="S69" s="5" t="n">
        <f aca="false">IF(AND(Q69=1,R69=1),1,0)</f>
        <v>1</v>
      </c>
      <c r="T69" s="5" t="n">
        <f aca="false">IF(P69&gt;=$B$20,1,0)</f>
        <v>1</v>
      </c>
      <c r="U69" s="5" t="n">
        <f aca="false">IF(P69+$B$18&gt;=$B$15-0.5,1,0)</f>
        <v>1</v>
      </c>
      <c r="V69" s="12" t="n">
        <f aca="false">MAX(D69-G69-L69,0)-O69</f>
        <v>2845.02666666667</v>
      </c>
      <c r="W69" s="12" t="n">
        <f aca="false">P69+$B$18</f>
        <v>100842</v>
      </c>
    </row>
    <row r="70" customFormat="false" ht="15" hidden="false" customHeight="false" outlineLevel="0" collapsed="false">
      <c r="A70" s="30" t="n">
        <v>47574</v>
      </c>
      <c r="B70" s="25" t="n">
        <f aca="false">IF(A70&lt;=$B$21,Budget!$F$70,Budget!$F$71)+IF(A70&gt;$B$24,$B$25,0)</f>
        <v>2845.02666666667</v>
      </c>
      <c r="C70" s="12" t="n">
        <f aca="false">IF(A70=$B$23,$B$22,0)</f>
        <v>0</v>
      </c>
      <c r="D70" s="12" t="n">
        <f aca="false">B70+C70</f>
        <v>2845.02666666667</v>
      </c>
      <c r="E70" s="12" t="n">
        <f aca="false">H69</f>
        <v>0</v>
      </c>
      <c r="F70" s="12" t="n">
        <f aca="false">E70*$B$6/12</f>
        <v>0</v>
      </c>
      <c r="G70" s="12" t="n">
        <f aca="false">MIN(E70+F70,MAX(D70-K70,0))</f>
        <v>0</v>
      </c>
      <c r="H70" s="12" t="n">
        <f aca="false">E70+F70-G70</f>
        <v>0</v>
      </c>
      <c r="I70" s="12" t="n">
        <f aca="false">M69</f>
        <v>0</v>
      </c>
      <c r="J70" s="12" t="n">
        <f aca="false">I70*$B$8/12</f>
        <v>0</v>
      </c>
      <c r="K70" s="12" t="n">
        <f aca="false">MIN(I70+J70,J70+$B$9*I70)</f>
        <v>0</v>
      </c>
      <c r="L70" s="12" t="n">
        <f aca="false">MIN(I70+J70,D70-G70)</f>
        <v>0</v>
      </c>
      <c r="M70" s="12" t="n">
        <f aca="false">I70+J70-L70</f>
        <v>0</v>
      </c>
      <c r="N70" s="12" t="n">
        <f aca="false">P69</f>
        <v>84581.25</v>
      </c>
      <c r="O70" s="12" t="n">
        <f aca="false">MIN(MAX(D70-G70-L70,0),MAX($B$15-$B$18-N70,0))</f>
        <v>0</v>
      </c>
      <c r="P70" s="12" t="n">
        <f aca="false">N70+O70</f>
        <v>84581.25</v>
      </c>
      <c r="Q70" s="5" t="n">
        <f aca="false">IF(H70&lt;=0.005,1,0)</f>
        <v>1</v>
      </c>
      <c r="R70" s="5" t="n">
        <f aca="false">IF(M70&lt;=0.005,1,0)</f>
        <v>1</v>
      </c>
      <c r="S70" s="5" t="n">
        <f aca="false">IF(AND(Q70=1,R70=1),1,0)</f>
        <v>1</v>
      </c>
      <c r="T70" s="5" t="n">
        <f aca="false">IF(P70&gt;=$B$20,1,0)</f>
        <v>1</v>
      </c>
      <c r="U70" s="5" t="n">
        <f aca="false">IF(P70+$B$18&gt;=$B$15-0.5,1,0)</f>
        <v>1</v>
      </c>
      <c r="V70" s="12" t="n">
        <f aca="false">MAX(D70-G70-L70,0)-O70</f>
        <v>2845.02666666667</v>
      </c>
      <c r="W70" s="12" t="n">
        <f aca="false">P70+$B$18</f>
        <v>100842</v>
      </c>
    </row>
    <row r="71" customFormat="false" ht="15" hidden="false" customHeight="false" outlineLevel="0" collapsed="false">
      <c r="A71" s="30" t="n">
        <v>47604</v>
      </c>
      <c r="B71" s="25" t="n">
        <f aca="false">IF(A71&lt;=$B$21,Budget!$F$70,Budget!$F$71)+IF(A71&gt;$B$24,$B$25,0)</f>
        <v>2845.02666666667</v>
      </c>
      <c r="C71" s="12" t="n">
        <f aca="false">IF(A71=$B$23,$B$22,0)</f>
        <v>0</v>
      </c>
      <c r="D71" s="12" t="n">
        <f aca="false">B71+C71</f>
        <v>2845.02666666667</v>
      </c>
      <c r="E71" s="12" t="n">
        <f aca="false">H70</f>
        <v>0</v>
      </c>
      <c r="F71" s="12" t="n">
        <f aca="false">E71*$B$6/12</f>
        <v>0</v>
      </c>
      <c r="G71" s="12" t="n">
        <f aca="false">MIN(E71+F71,MAX(D71-K71,0))</f>
        <v>0</v>
      </c>
      <c r="H71" s="12" t="n">
        <f aca="false">E71+F71-G71</f>
        <v>0</v>
      </c>
      <c r="I71" s="12" t="n">
        <f aca="false">M70</f>
        <v>0</v>
      </c>
      <c r="J71" s="12" t="n">
        <f aca="false">I71*$B$8/12</f>
        <v>0</v>
      </c>
      <c r="K71" s="12" t="n">
        <f aca="false">MIN(I71+J71,J71+$B$9*I71)</f>
        <v>0</v>
      </c>
      <c r="L71" s="12" t="n">
        <f aca="false">MIN(I71+J71,D71-G71)</f>
        <v>0</v>
      </c>
      <c r="M71" s="12" t="n">
        <f aca="false">I71+J71-L71</f>
        <v>0</v>
      </c>
      <c r="N71" s="12" t="n">
        <f aca="false">P70</f>
        <v>84581.25</v>
      </c>
      <c r="O71" s="12" t="n">
        <f aca="false">MIN(MAX(D71-G71-L71,0),MAX($B$15-$B$18-N71,0))</f>
        <v>0</v>
      </c>
      <c r="P71" s="12" t="n">
        <f aca="false">N71+O71</f>
        <v>84581.25</v>
      </c>
      <c r="Q71" s="5" t="n">
        <f aca="false">IF(H71&lt;=0.005,1,0)</f>
        <v>1</v>
      </c>
      <c r="R71" s="5" t="n">
        <f aca="false">IF(M71&lt;=0.005,1,0)</f>
        <v>1</v>
      </c>
      <c r="S71" s="5" t="n">
        <f aca="false">IF(AND(Q71=1,R71=1),1,0)</f>
        <v>1</v>
      </c>
      <c r="T71" s="5" t="n">
        <f aca="false">IF(P71&gt;=$B$20,1,0)</f>
        <v>1</v>
      </c>
      <c r="U71" s="5" t="n">
        <f aca="false">IF(P71+$B$18&gt;=$B$15-0.5,1,0)</f>
        <v>1</v>
      </c>
      <c r="V71" s="12" t="n">
        <f aca="false">MAX(D71-G71-L71,0)-O71</f>
        <v>2845.02666666667</v>
      </c>
      <c r="W71" s="12" t="n">
        <f aca="false">P71+$B$18</f>
        <v>100842</v>
      </c>
    </row>
    <row r="72" customFormat="false" ht="15" hidden="false" customHeight="false" outlineLevel="0" collapsed="false">
      <c r="A72" s="30" t="n">
        <v>47635</v>
      </c>
      <c r="B72" s="25" t="n">
        <f aca="false">IF(A72&lt;=$B$21,Budget!$F$70,Budget!$F$71)+IF(A72&gt;$B$24,$B$25,0)</f>
        <v>2845.02666666667</v>
      </c>
      <c r="C72" s="12" t="n">
        <f aca="false">IF(A72=$B$23,$B$22,0)</f>
        <v>0</v>
      </c>
      <c r="D72" s="12" t="n">
        <f aca="false">B72+C72</f>
        <v>2845.02666666667</v>
      </c>
      <c r="E72" s="12" t="n">
        <f aca="false">H71</f>
        <v>0</v>
      </c>
      <c r="F72" s="12" t="n">
        <f aca="false">E72*$B$6/12</f>
        <v>0</v>
      </c>
      <c r="G72" s="12" t="n">
        <f aca="false">MIN(E72+F72,MAX(D72-K72,0))</f>
        <v>0</v>
      </c>
      <c r="H72" s="12" t="n">
        <f aca="false">E72+F72-G72</f>
        <v>0</v>
      </c>
      <c r="I72" s="12" t="n">
        <f aca="false">M71</f>
        <v>0</v>
      </c>
      <c r="J72" s="12" t="n">
        <f aca="false">I72*$B$8/12</f>
        <v>0</v>
      </c>
      <c r="K72" s="12" t="n">
        <f aca="false">MIN(I72+J72,J72+$B$9*I72)</f>
        <v>0</v>
      </c>
      <c r="L72" s="12" t="n">
        <f aca="false">MIN(I72+J72,D72-G72)</f>
        <v>0</v>
      </c>
      <c r="M72" s="12" t="n">
        <f aca="false">I72+J72-L72</f>
        <v>0</v>
      </c>
      <c r="N72" s="12" t="n">
        <f aca="false">P71</f>
        <v>84581.25</v>
      </c>
      <c r="O72" s="12" t="n">
        <f aca="false">MIN(MAX(D72-G72-L72,0),MAX($B$15-$B$18-N72,0))</f>
        <v>0</v>
      </c>
      <c r="P72" s="12" t="n">
        <f aca="false">N72+O72</f>
        <v>84581.25</v>
      </c>
      <c r="Q72" s="5" t="n">
        <f aca="false">IF(H72&lt;=0.005,1,0)</f>
        <v>1</v>
      </c>
      <c r="R72" s="5" t="n">
        <f aca="false">IF(M72&lt;=0.005,1,0)</f>
        <v>1</v>
      </c>
      <c r="S72" s="5" t="n">
        <f aca="false">IF(AND(Q72=1,R72=1),1,0)</f>
        <v>1</v>
      </c>
      <c r="T72" s="5" t="n">
        <f aca="false">IF(P72&gt;=$B$20,1,0)</f>
        <v>1</v>
      </c>
      <c r="U72" s="5" t="n">
        <f aca="false">IF(P72+$B$18&gt;=$B$15-0.5,1,0)</f>
        <v>1</v>
      </c>
      <c r="V72" s="12" t="n">
        <f aca="false">MAX(D72-G72-L72,0)-O72</f>
        <v>2845.02666666667</v>
      </c>
      <c r="W72" s="12" t="n">
        <f aca="false">P72+$B$18</f>
        <v>100842</v>
      </c>
    </row>
    <row r="73" customFormat="false" ht="15" hidden="false" customHeight="false" outlineLevel="0" collapsed="false">
      <c r="A73" s="30" t="n">
        <v>47665</v>
      </c>
      <c r="B73" s="25" t="n">
        <f aca="false">IF(A73&lt;=$B$21,Budget!$F$70,Budget!$F$71)+IF(A73&gt;$B$24,$B$25,0)</f>
        <v>2845.02666666667</v>
      </c>
      <c r="C73" s="12" t="n">
        <f aca="false">IF(A73=$B$23,$B$22,0)</f>
        <v>0</v>
      </c>
      <c r="D73" s="12" t="n">
        <f aca="false">B73+C73</f>
        <v>2845.02666666667</v>
      </c>
      <c r="E73" s="12" t="n">
        <f aca="false">H72</f>
        <v>0</v>
      </c>
      <c r="F73" s="12" t="n">
        <f aca="false">E73*$B$6/12</f>
        <v>0</v>
      </c>
      <c r="G73" s="12" t="n">
        <f aca="false">MIN(E73+F73,MAX(D73-K73,0))</f>
        <v>0</v>
      </c>
      <c r="H73" s="12" t="n">
        <f aca="false">E73+F73-G73</f>
        <v>0</v>
      </c>
      <c r="I73" s="12" t="n">
        <f aca="false">M72</f>
        <v>0</v>
      </c>
      <c r="J73" s="12" t="n">
        <f aca="false">I73*$B$8/12</f>
        <v>0</v>
      </c>
      <c r="K73" s="12" t="n">
        <f aca="false">MIN(I73+J73,J73+$B$9*I73)</f>
        <v>0</v>
      </c>
      <c r="L73" s="12" t="n">
        <f aca="false">MIN(I73+J73,D73-G73)</f>
        <v>0</v>
      </c>
      <c r="M73" s="12" t="n">
        <f aca="false">I73+J73-L73</f>
        <v>0</v>
      </c>
      <c r="N73" s="12" t="n">
        <f aca="false">P72</f>
        <v>84581.25</v>
      </c>
      <c r="O73" s="12" t="n">
        <f aca="false">MIN(MAX(D73-G73-L73,0),MAX($B$15-$B$18-N73,0))</f>
        <v>0</v>
      </c>
      <c r="P73" s="12" t="n">
        <f aca="false">N73+O73</f>
        <v>84581.25</v>
      </c>
      <c r="Q73" s="5" t="n">
        <f aca="false">IF(H73&lt;=0.005,1,0)</f>
        <v>1</v>
      </c>
      <c r="R73" s="5" t="n">
        <f aca="false">IF(M73&lt;=0.005,1,0)</f>
        <v>1</v>
      </c>
      <c r="S73" s="5" t="n">
        <f aca="false">IF(AND(Q73=1,R73=1),1,0)</f>
        <v>1</v>
      </c>
      <c r="T73" s="5" t="n">
        <f aca="false">IF(P73&gt;=$B$20,1,0)</f>
        <v>1</v>
      </c>
      <c r="U73" s="5" t="n">
        <f aca="false">IF(P73+$B$18&gt;=$B$15-0.5,1,0)</f>
        <v>1</v>
      </c>
      <c r="V73" s="12" t="n">
        <f aca="false">MAX(D73-G73-L73,0)-O73</f>
        <v>2845.02666666667</v>
      </c>
      <c r="W73" s="12" t="n">
        <f aca="false">P73+$B$18</f>
        <v>100842</v>
      </c>
    </row>
    <row r="74" customFormat="false" ht="15" hidden="false" customHeight="false" outlineLevel="0" collapsed="false">
      <c r="A74" s="30" t="n">
        <v>47696</v>
      </c>
      <c r="B74" s="25" t="n">
        <f aca="false">IF(A74&lt;=$B$21,Budget!$F$70,Budget!$F$71)+IF(A74&gt;$B$24,$B$25,0)</f>
        <v>2845.02666666667</v>
      </c>
      <c r="C74" s="12" t="n">
        <f aca="false">IF(A74=$B$23,$B$22,0)</f>
        <v>0</v>
      </c>
      <c r="D74" s="12" t="n">
        <f aca="false">B74+C74</f>
        <v>2845.02666666667</v>
      </c>
      <c r="E74" s="12" t="n">
        <f aca="false">H73</f>
        <v>0</v>
      </c>
      <c r="F74" s="12" t="n">
        <f aca="false">E74*$B$6/12</f>
        <v>0</v>
      </c>
      <c r="G74" s="12" t="n">
        <f aca="false">MIN(E74+F74,MAX(D74-K74,0))</f>
        <v>0</v>
      </c>
      <c r="H74" s="12" t="n">
        <f aca="false">E74+F74-G74</f>
        <v>0</v>
      </c>
      <c r="I74" s="12" t="n">
        <f aca="false">M73</f>
        <v>0</v>
      </c>
      <c r="J74" s="12" t="n">
        <f aca="false">I74*$B$8/12</f>
        <v>0</v>
      </c>
      <c r="K74" s="12" t="n">
        <f aca="false">MIN(I74+J74,J74+$B$9*I74)</f>
        <v>0</v>
      </c>
      <c r="L74" s="12" t="n">
        <f aca="false">MIN(I74+J74,D74-G74)</f>
        <v>0</v>
      </c>
      <c r="M74" s="12" t="n">
        <f aca="false">I74+J74-L74</f>
        <v>0</v>
      </c>
      <c r="N74" s="12" t="n">
        <f aca="false">P73</f>
        <v>84581.25</v>
      </c>
      <c r="O74" s="12" t="n">
        <f aca="false">MIN(MAX(D74-G74-L74,0),MAX($B$15-$B$18-N74,0))</f>
        <v>0</v>
      </c>
      <c r="P74" s="12" t="n">
        <f aca="false">N74+O74</f>
        <v>84581.25</v>
      </c>
      <c r="Q74" s="5" t="n">
        <f aca="false">IF(H74&lt;=0.005,1,0)</f>
        <v>1</v>
      </c>
      <c r="R74" s="5" t="n">
        <f aca="false">IF(M74&lt;=0.005,1,0)</f>
        <v>1</v>
      </c>
      <c r="S74" s="5" t="n">
        <f aca="false">IF(AND(Q74=1,R74=1),1,0)</f>
        <v>1</v>
      </c>
      <c r="T74" s="5" t="n">
        <f aca="false">IF(P74&gt;=$B$20,1,0)</f>
        <v>1</v>
      </c>
      <c r="U74" s="5" t="n">
        <f aca="false">IF(P74+$B$18&gt;=$B$15-0.5,1,0)</f>
        <v>1</v>
      </c>
      <c r="V74" s="12" t="n">
        <f aca="false">MAX(D74-G74-L74,0)-O74</f>
        <v>2845.02666666667</v>
      </c>
      <c r="W74" s="12" t="n">
        <f aca="false">P74+$B$18</f>
        <v>100842</v>
      </c>
    </row>
    <row r="75" customFormat="false" ht="15" hidden="false" customHeight="false" outlineLevel="0" collapsed="false">
      <c r="A75" s="30" t="n">
        <v>47727</v>
      </c>
      <c r="B75" s="25" t="n">
        <f aca="false">IF(A75&lt;=$B$21,Budget!$F$70,Budget!$F$71)+IF(A75&gt;$B$24,$B$25,0)</f>
        <v>2845.02666666667</v>
      </c>
      <c r="C75" s="12" t="n">
        <f aca="false">IF(A75=$B$23,$B$22,0)</f>
        <v>0</v>
      </c>
      <c r="D75" s="12" t="n">
        <f aca="false">B75+C75</f>
        <v>2845.02666666667</v>
      </c>
      <c r="E75" s="12" t="n">
        <f aca="false">H74</f>
        <v>0</v>
      </c>
      <c r="F75" s="12" t="n">
        <f aca="false">E75*$B$6/12</f>
        <v>0</v>
      </c>
      <c r="G75" s="12" t="n">
        <f aca="false">MIN(E75+F75,MAX(D75-K75,0))</f>
        <v>0</v>
      </c>
      <c r="H75" s="12" t="n">
        <f aca="false">E75+F75-G75</f>
        <v>0</v>
      </c>
      <c r="I75" s="12" t="n">
        <f aca="false">M74</f>
        <v>0</v>
      </c>
      <c r="J75" s="12" t="n">
        <f aca="false">I75*$B$8/12</f>
        <v>0</v>
      </c>
      <c r="K75" s="12" t="n">
        <f aca="false">MIN(I75+J75,J75+$B$9*I75)</f>
        <v>0</v>
      </c>
      <c r="L75" s="12" t="n">
        <f aca="false">MIN(I75+J75,D75-G75)</f>
        <v>0</v>
      </c>
      <c r="M75" s="12" t="n">
        <f aca="false">I75+J75-L75</f>
        <v>0</v>
      </c>
      <c r="N75" s="12" t="n">
        <f aca="false">P74</f>
        <v>84581.25</v>
      </c>
      <c r="O75" s="12" t="n">
        <f aca="false">MIN(MAX(D75-G75-L75,0),MAX($B$15-$B$18-N75,0))</f>
        <v>0</v>
      </c>
      <c r="P75" s="12" t="n">
        <f aca="false">N75+O75</f>
        <v>84581.25</v>
      </c>
      <c r="Q75" s="5" t="n">
        <f aca="false">IF(H75&lt;=0.005,1,0)</f>
        <v>1</v>
      </c>
      <c r="R75" s="5" t="n">
        <f aca="false">IF(M75&lt;=0.005,1,0)</f>
        <v>1</v>
      </c>
      <c r="S75" s="5" t="n">
        <f aca="false">IF(AND(Q75=1,R75=1),1,0)</f>
        <v>1</v>
      </c>
      <c r="T75" s="5" t="n">
        <f aca="false">IF(P75&gt;=$B$20,1,0)</f>
        <v>1</v>
      </c>
      <c r="U75" s="5" t="n">
        <f aca="false">IF(P75+$B$18&gt;=$B$15-0.5,1,0)</f>
        <v>1</v>
      </c>
      <c r="V75" s="12" t="n">
        <f aca="false">MAX(D75-G75-L75,0)-O75</f>
        <v>2845.02666666667</v>
      </c>
      <c r="W75" s="12" t="n">
        <f aca="false">P75+$B$18</f>
        <v>100842</v>
      </c>
    </row>
    <row r="76" customFormat="false" ht="15" hidden="false" customHeight="false" outlineLevel="0" collapsed="false">
      <c r="A76" s="30" t="n">
        <v>47757</v>
      </c>
      <c r="B76" s="25" t="n">
        <f aca="false">IF(A76&lt;=$B$21,Budget!$F$70,Budget!$F$71)+IF(A76&gt;$B$24,$B$25,0)</f>
        <v>2845.02666666667</v>
      </c>
      <c r="C76" s="12" t="n">
        <f aca="false">IF(A76=$B$23,$B$22,0)</f>
        <v>0</v>
      </c>
      <c r="D76" s="12" t="n">
        <f aca="false">B76+C76</f>
        <v>2845.02666666667</v>
      </c>
      <c r="E76" s="12" t="n">
        <f aca="false">H75</f>
        <v>0</v>
      </c>
      <c r="F76" s="12" t="n">
        <f aca="false">E76*$B$6/12</f>
        <v>0</v>
      </c>
      <c r="G76" s="12" t="n">
        <f aca="false">MIN(E76+F76,MAX(D76-K76,0))</f>
        <v>0</v>
      </c>
      <c r="H76" s="12" t="n">
        <f aca="false">E76+F76-G76</f>
        <v>0</v>
      </c>
      <c r="I76" s="12" t="n">
        <f aca="false">M75</f>
        <v>0</v>
      </c>
      <c r="J76" s="12" t="n">
        <f aca="false">I76*$B$8/12</f>
        <v>0</v>
      </c>
      <c r="K76" s="12" t="n">
        <f aca="false">MIN(I76+J76,J76+$B$9*I76)</f>
        <v>0</v>
      </c>
      <c r="L76" s="12" t="n">
        <f aca="false">MIN(I76+J76,D76-G76)</f>
        <v>0</v>
      </c>
      <c r="M76" s="12" t="n">
        <f aca="false">I76+J76-L76</f>
        <v>0</v>
      </c>
      <c r="N76" s="12" t="n">
        <f aca="false">P75</f>
        <v>84581.25</v>
      </c>
      <c r="O76" s="12" t="n">
        <f aca="false">MIN(MAX(D76-G76-L76,0),MAX($B$15-$B$18-N76,0))</f>
        <v>0</v>
      </c>
      <c r="P76" s="12" t="n">
        <f aca="false">N76+O76</f>
        <v>84581.25</v>
      </c>
      <c r="Q76" s="5" t="n">
        <f aca="false">IF(H76&lt;=0.005,1,0)</f>
        <v>1</v>
      </c>
      <c r="R76" s="5" t="n">
        <f aca="false">IF(M76&lt;=0.005,1,0)</f>
        <v>1</v>
      </c>
      <c r="S76" s="5" t="n">
        <f aca="false">IF(AND(Q76=1,R76=1),1,0)</f>
        <v>1</v>
      </c>
      <c r="T76" s="5" t="n">
        <f aca="false">IF(P76&gt;=$B$20,1,0)</f>
        <v>1</v>
      </c>
      <c r="U76" s="5" t="n">
        <f aca="false">IF(P76+$B$18&gt;=$B$15-0.5,1,0)</f>
        <v>1</v>
      </c>
      <c r="V76" s="12" t="n">
        <f aca="false">MAX(D76-G76-L76,0)-O76</f>
        <v>2845.02666666667</v>
      </c>
      <c r="W76" s="12" t="n">
        <f aca="false">P76+$B$18</f>
        <v>100842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1"/>
    <col collapsed="false" customWidth="true" hidden="false" outlineLevel="0" max="12" min="12" style="0" width="14"/>
    <col collapsed="false" customWidth="true" hidden="false" outlineLevel="0" max="14" min="13" style="0" width="11"/>
  </cols>
  <sheetData>
    <row r="1" customFormat="false" ht="17.3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4" customFormat="false" ht="27.75" hidden="false" customHeight="true" outlineLevel="0" collapsed="false">
      <c r="A4" s="10" t="s">
        <v>13</v>
      </c>
      <c r="B4" s="10" t="s">
        <v>243</v>
      </c>
      <c r="C4" s="10" t="s">
        <v>244</v>
      </c>
      <c r="D4" s="10" t="s">
        <v>245</v>
      </c>
      <c r="E4" s="10" t="s">
        <v>246</v>
      </c>
      <c r="F4" s="10" t="s">
        <v>247</v>
      </c>
      <c r="G4" s="10" t="s">
        <v>248</v>
      </c>
      <c r="H4" s="10" t="s">
        <v>249</v>
      </c>
      <c r="I4" s="10" t="s">
        <v>250</v>
      </c>
      <c r="J4" s="10" t="s">
        <v>251</v>
      </c>
      <c r="K4" s="10" t="s">
        <v>252</v>
      </c>
      <c r="L4" s="10" t="s">
        <v>253</v>
      </c>
      <c r="M4" s="10" t="s">
        <v>254</v>
      </c>
      <c r="N4" s="10" t="s">
        <v>255</v>
      </c>
    </row>
    <row r="5" customFormat="false" ht="15" hidden="false" customHeight="false" outlineLevel="0" collapsed="false">
      <c r="A5" s="3" t="s">
        <v>256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257</v>
      </c>
      <c r="B6" s="13" t="n">
        <v>17767.46</v>
      </c>
      <c r="C6" s="13" t="n">
        <v>17292.97</v>
      </c>
      <c r="D6" s="13" t="n">
        <v>56680.72</v>
      </c>
      <c r="E6" s="13" t="n">
        <v>17796.97</v>
      </c>
      <c r="F6" s="13" t="n">
        <v>18589.52</v>
      </c>
      <c r="G6" s="13" t="n">
        <v>19357.91</v>
      </c>
      <c r="H6" s="13" t="n">
        <v>19331.52</v>
      </c>
      <c r="I6" s="13" t="n">
        <v>19331.5</v>
      </c>
      <c r="J6" s="13" t="n">
        <v>19331.51</v>
      </c>
      <c r="K6" s="13" t="n">
        <v>0</v>
      </c>
      <c r="L6" s="12" t="n">
        <f aca="false">SUM(B6:J6)</f>
        <v>205480.08</v>
      </c>
      <c r="M6" s="12" t="n">
        <f aca="false">L6/9</f>
        <v>22831.12</v>
      </c>
      <c r="N6" s="12" t="n">
        <f aca="false">AVERAGE(H6:J6)</f>
        <v>19331.51</v>
      </c>
    </row>
    <row r="7" customFormat="false" ht="15" hidden="false" customHeight="false" outlineLevel="0" collapsed="false">
      <c r="A7" s="5" t="s">
        <v>258</v>
      </c>
      <c r="B7" s="13" t="n">
        <v>6410.38</v>
      </c>
      <c r="C7" s="13" t="n">
        <v>6410.38</v>
      </c>
      <c r="D7" s="13" t="n">
        <v>6381.15</v>
      </c>
      <c r="E7" s="13" t="n">
        <v>7306.35</v>
      </c>
      <c r="F7" s="13" t="n">
        <v>3245.11</v>
      </c>
      <c r="G7" s="13" t="n">
        <v>6370.6</v>
      </c>
      <c r="H7" s="13" t="n">
        <v>7963.28</v>
      </c>
      <c r="I7" s="13" t="n">
        <v>6622.78</v>
      </c>
      <c r="J7" s="13" t="n">
        <v>8161.68</v>
      </c>
      <c r="K7" s="13" t="n">
        <v>2280.02</v>
      </c>
      <c r="L7" s="12" t="n">
        <f aca="false">SUM(B7:J7)</f>
        <v>58871.71</v>
      </c>
      <c r="M7" s="12" t="n">
        <f aca="false">L7/9</f>
        <v>6541.30111111111</v>
      </c>
      <c r="N7" s="12" t="n">
        <f aca="false">AVERAGE(H7:J7)</f>
        <v>7582.58</v>
      </c>
    </row>
    <row r="8" customFormat="false" ht="15" hidden="false" customHeight="false" outlineLevel="0" collapsed="false">
      <c r="A8" s="5" t="s">
        <v>259</v>
      </c>
      <c r="B8" s="13" t="n">
        <v>1459.54</v>
      </c>
      <c r="C8" s="13" t="n">
        <v>3377.84</v>
      </c>
      <c r="D8" s="13" t="n">
        <v>0</v>
      </c>
      <c r="E8" s="13" t="n">
        <v>25235.81</v>
      </c>
      <c r="F8" s="13" t="n">
        <v>5247.42</v>
      </c>
      <c r="G8" s="13" t="n">
        <v>153.09</v>
      </c>
      <c r="H8" s="13" t="n">
        <v>132.58</v>
      </c>
      <c r="I8" s="13" t="n">
        <v>32.46</v>
      </c>
      <c r="J8" s="13" t="n">
        <v>486.2</v>
      </c>
      <c r="K8" s="13" t="n">
        <v>82.25</v>
      </c>
      <c r="L8" s="12" t="n">
        <f aca="false">SUM(B8:J8)</f>
        <v>36124.94</v>
      </c>
      <c r="M8" s="12" t="n">
        <f aca="false">L8/9</f>
        <v>4013.88222222222</v>
      </c>
      <c r="N8" s="12" t="n">
        <f aca="false">AVERAGE(H8:J8)</f>
        <v>217.08</v>
      </c>
    </row>
    <row r="9" customFormat="false" ht="15" hidden="false" customHeight="false" outlineLevel="0" collapsed="false">
      <c r="A9" s="15" t="s">
        <v>260</v>
      </c>
      <c r="B9" s="17" t="n">
        <f aca="false">SUM(B6:B8)</f>
        <v>25637.38</v>
      </c>
      <c r="C9" s="17" t="n">
        <f aca="false">SUM(C6:C8)</f>
        <v>27081.19</v>
      </c>
      <c r="D9" s="17" t="n">
        <f aca="false">SUM(D6:D8)</f>
        <v>63061.87</v>
      </c>
      <c r="E9" s="17" t="n">
        <f aca="false">SUM(E6:E8)</f>
        <v>50339.13</v>
      </c>
      <c r="F9" s="17" t="n">
        <f aca="false">SUM(F6:F8)</f>
        <v>27082.05</v>
      </c>
      <c r="G9" s="17" t="n">
        <f aca="false">SUM(G6:G8)</f>
        <v>25881.6</v>
      </c>
      <c r="H9" s="17" t="n">
        <f aca="false">SUM(H6:H8)</f>
        <v>27427.38</v>
      </c>
      <c r="I9" s="17" t="n">
        <f aca="false">SUM(I6:I8)</f>
        <v>25986.74</v>
      </c>
      <c r="J9" s="17" t="n">
        <f aca="false">SUM(J6:J8)</f>
        <v>27979.39</v>
      </c>
      <c r="K9" s="17" t="n">
        <f aca="false">SUM(K6:K8)</f>
        <v>2362.27</v>
      </c>
      <c r="L9" s="17" t="n">
        <f aca="false">SUM(L6:L8)</f>
        <v>300476.73</v>
      </c>
      <c r="M9" s="17" t="n">
        <f aca="false">SUM(M6:M8)</f>
        <v>33386.3033333333</v>
      </c>
      <c r="N9" s="17" t="n">
        <f aca="false">SUM(N6:N8)</f>
        <v>27131.17</v>
      </c>
    </row>
    <row r="11" customFormat="false" ht="15" hidden="false" customHeight="false" outlineLevel="0" collapsed="false">
      <c r="A11" s="3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5" t="s">
        <v>262</v>
      </c>
      <c r="B12" s="13" t="n">
        <v>4300</v>
      </c>
      <c r="C12" s="13" t="n">
        <v>5520</v>
      </c>
      <c r="D12" s="13" t="n">
        <v>20305.96</v>
      </c>
      <c r="E12" s="13" t="n">
        <v>0</v>
      </c>
      <c r="F12" s="13" t="n">
        <v>10172.94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2" t="n">
        <f aca="false">SUM(B12:J12)</f>
        <v>40298.9</v>
      </c>
      <c r="M12" s="12" t="n">
        <f aca="false">L12/9</f>
        <v>4477.65555555556</v>
      </c>
      <c r="N12" s="12" t="n">
        <f aca="false">AVERAGE(H12:J12)</f>
        <v>0</v>
      </c>
    </row>
    <row r="13" customFormat="false" ht="15" hidden="false" customHeight="false" outlineLevel="0" collapsed="false">
      <c r="A13" s="5" t="s">
        <v>263</v>
      </c>
      <c r="B13" s="13" t="n">
        <v>32.71</v>
      </c>
      <c r="C13" s="13" t="n">
        <v>86.2</v>
      </c>
      <c r="D13" s="13" t="n">
        <v>11564.41</v>
      </c>
      <c r="E13" s="13" t="n">
        <v>0</v>
      </c>
      <c r="F13" s="13" t="n">
        <v>10344.77</v>
      </c>
      <c r="G13" s="13" t="n">
        <v>0</v>
      </c>
      <c r="H13" s="13" t="n">
        <v>567.01</v>
      </c>
      <c r="I13" s="13" t="n">
        <v>0</v>
      </c>
      <c r="J13" s="13" t="n">
        <v>84.46</v>
      </c>
      <c r="K13" s="13" t="n">
        <v>0</v>
      </c>
      <c r="L13" s="12" t="n">
        <f aca="false">SUM(B13:J13)</f>
        <v>22679.56</v>
      </c>
      <c r="M13" s="12" t="n">
        <f aca="false">L13/9</f>
        <v>2519.95111111111</v>
      </c>
      <c r="N13" s="12" t="n">
        <f aca="false">AVERAGE(H13:J13)</f>
        <v>217.156666666667</v>
      </c>
    </row>
    <row r="14" customFormat="false" ht="15" hidden="false" customHeight="false" outlineLevel="0" collapsed="false">
      <c r="A14" s="5" t="s">
        <v>264</v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8397.68</v>
      </c>
      <c r="I14" s="13" t="n">
        <v>0</v>
      </c>
      <c r="J14" s="13" t="n">
        <v>250</v>
      </c>
      <c r="K14" s="13" t="n">
        <v>0</v>
      </c>
      <c r="L14" s="12" t="n">
        <f aca="false">SUM(B14:J14)</f>
        <v>8647.68</v>
      </c>
      <c r="M14" s="12" t="n">
        <f aca="false">L14/9</f>
        <v>960.853333333333</v>
      </c>
      <c r="N14" s="12" t="n">
        <f aca="false">AVERAGE(H14:J14)</f>
        <v>2882.56</v>
      </c>
    </row>
    <row r="15" customFormat="false" ht="15" hidden="false" customHeight="false" outlineLevel="0" collapsed="false">
      <c r="A15" s="5" t="s">
        <v>265</v>
      </c>
      <c r="B15" s="13" t="n">
        <v>183.82</v>
      </c>
      <c r="C15" s="13" t="n">
        <v>0</v>
      </c>
      <c r="D15" s="13" t="n">
        <v>1286.9</v>
      </c>
      <c r="E15" s="13" t="n">
        <v>0</v>
      </c>
      <c r="F15" s="13" t="n">
        <v>38.29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2" t="n">
        <f aca="false">SUM(B15:J15)</f>
        <v>1509.01</v>
      </c>
      <c r="M15" s="12" t="n">
        <f aca="false">L15/9</f>
        <v>167.667777777778</v>
      </c>
      <c r="N15" s="12" t="n">
        <f aca="false">AVERAGE(H15:J15)</f>
        <v>0</v>
      </c>
    </row>
    <row r="16" customFormat="false" ht="15" hidden="false" customHeight="false" outlineLevel="0" collapsed="false">
      <c r="A16" s="5" t="s">
        <v>266</v>
      </c>
      <c r="B16" s="13" t="n">
        <v>500</v>
      </c>
      <c r="C16" s="13" t="n">
        <v>1709</v>
      </c>
      <c r="D16" s="13" t="n">
        <v>1175</v>
      </c>
      <c r="E16" s="13" t="n">
        <v>550</v>
      </c>
      <c r="F16" s="13" t="n">
        <v>2000</v>
      </c>
      <c r="G16" s="13" t="n">
        <v>1340</v>
      </c>
      <c r="H16" s="13" t="n">
        <v>0</v>
      </c>
      <c r="I16" s="13" t="n">
        <v>2350</v>
      </c>
      <c r="J16" s="13" t="n">
        <v>1849.62</v>
      </c>
      <c r="K16" s="13" t="n">
        <v>0</v>
      </c>
      <c r="L16" s="12" t="n">
        <f aca="false">SUM(B16:J16)</f>
        <v>11473.62</v>
      </c>
      <c r="M16" s="12" t="n">
        <f aca="false">L16/9</f>
        <v>1274.84666666667</v>
      </c>
      <c r="N16" s="12" t="n">
        <f aca="false">AVERAGE(H16:J16)</f>
        <v>1399.87333333333</v>
      </c>
    </row>
    <row r="17" customFormat="false" ht="15" hidden="false" customHeight="false" outlineLevel="0" collapsed="false">
      <c r="A17" s="15" t="s">
        <v>260</v>
      </c>
      <c r="B17" s="17" t="n">
        <f aca="false">SUM(B12:B16)</f>
        <v>5016.53</v>
      </c>
      <c r="C17" s="17" t="n">
        <f aca="false">SUM(C12:C16)</f>
        <v>7315.2</v>
      </c>
      <c r="D17" s="17" t="n">
        <f aca="false">SUM(D12:D16)</f>
        <v>34332.27</v>
      </c>
      <c r="E17" s="17" t="n">
        <f aca="false">SUM(E12:E16)</f>
        <v>550</v>
      </c>
      <c r="F17" s="17" t="n">
        <f aca="false">SUM(F12:F16)</f>
        <v>22556</v>
      </c>
      <c r="G17" s="17" t="n">
        <f aca="false">SUM(G12:G16)</f>
        <v>1340</v>
      </c>
      <c r="H17" s="17" t="n">
        <f aca="false">SUM(H12:H16)</f>
        <v>8964.69</v>
      </c>
      <c r="I17" s="17" t="n">
        <f aca="false">SUM(I12:I16)</f>
        <v>2350</v>
      </c>
      <c r="J17" s="17" t="n">
        <f aca="false">SUM(J12:J16)</f>
        <v>2184.08</v>
      </c>
      <c r="K17" s="17" t="n">
        <f aca="false">SUM(K12:K16)</f>
        <v>0</v>
      </c>
      <c r="L17" s="17" t="n">
        <f aca="false">SUM(L12:L16)</f>
        <v>84608.77</v>
      </c>
      <c r="M17" s="17" t="n">
        <f aca="false">SUM(M12:M16)</f>
        <v>9400.97444444444</v>
      </c>
      <c r="N17" s="17" t="n">
        <f aca="false">SUM(N12:N16)</f>
        <v>4499.59</v>
      </c>
    </row>
    <row r="19" customFormat="false" ht="15" hidden="false" customHeight="false" outlineLevel="0" collapsed="false">
      <c r="A19" s="3" t="s">
        <v>267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5" t="s">
        <v>268</v>
      </c>
      <c r="B20" s="13" t="n">
        <v>6857.93</v>
      </c>
      <c r="C20" s="13" t="n">
        <v>6857.93</v>
      </c>
      <c r="D20" s="13" t="n">
        <v>6857.93</v>
      </c>
      <c r="E20" s="13" t="n">
        <v>6857.93</v>
      </c>
      <c r="F20" s="13" t="n">
        <v>6857.93</v>
      </c>
      <c r="G20" s="13" t="n">
        <v>6857.93</v>
      </c>
      <c r="H20" s="13" t="n">
        <v>6857.93</v>
      </c>
      <c r="I20" s="13" t="n">
        <v>6857.93</v>
      </c>
      <c r="J20" s="13" t="n">
        <v>6857.93</v>
      </c>
      <c r="K20" s="13" t="n">
        <v>6857.93</v>
      </c>
      <c r="L20" s="12" t="n">
        <f aca="false">SUM(B20:J20)</f>
        <v>61721.37</v>
      </c>
      <c r="M20" s="12" t="n">
        <f aca="false">L20/9</f>
        <v>6857.93</v>
      </c>
      <c r="N20" s="12" t="n">
        <f aca="false">AVERAGE(H20:J20)</f>
        <v>6857.93</v>
      </c>
    </row>
    <row r="21" customFormat="false" ht="15" hidden="false" customHeight="false" outlineLevel="0" collapsed="false">
      <c r="A21" s="5" t="s">
        <v>26</v>
      </c>
      <c r="B21" s="13" t="n">
        <v>1173.99</v>
      </c>
      <c r="C21" s="13" t="n">
        <v>1173.99</v>
      </c>
      <c r="D21" s="13" t="n">
        <v>1173.99</v>
      </c>
      <c r="E21" s="13" t="n">
        <v>1173.99</v>
      </c>
      <c r="F21" s="13" t="n">
        <v>1173.99</v>
      </c>
      <c r="G21" s="13" t="n">
        <v>1173.99</v>
      </c>
      <c r="H21" s="13" t="n">
        <v>1173.99</v>
      </c>
      <c r="I21" s="13" t="n">
        <v>1173.99</v>
      </c>
      <c r="J21" s="13" t="n">
        <v>1173.99</v>
      </c>
      <c r="K21" s="13" t="n">
        <v>1173.99</v>
      </c>
      <c r="L21" s="12" t="n">
        <f aca="false">SUM(B21:J21)</f>
        <v>10565.91</v>
      </c>
      <c r="M21" s="12" t="n">
        <f aca="false">L21/9</f>
        <v>1173.99</v>
      </c>
      <c r="N21" s="12" t="n">
        <f aca="false">AVERAGE(H21:J21)</f>
        <v>1173.99</v>
      </c>
    </row>
    <row r="22" customFormat="false" ht="15" hidden="false" customHeight="false" outlineLevel="0" collapsed="false">
      <c r="A22" s="5" t="s">
        <v>269</v>
      </c>
      <c r="B22" s="13" t="n">
        <v>1057.39</v>
      </c>
      <c r="C22" s="13" t="n">
        <v>1057.39</v>
      </c>
      <c r="D22" s="13" t="n">
        <v>1057.39</v>
      </c>
      <c r="E22" s="13" t="n">
        <v>1057.39</v>
      </c>
      <c r="F22" s="13" t="n">
        <v>1057.39</v>
      </c>
      <c r="G22" s="13" t="n">
        <v>1057.39</v>
      </c>
      <c r="H22" s="13" t="n">
        <v>1057.39</v>
      </c>
      <c r="I22" s="13" t="n">
        <v>1057.39</v>
      </c>
      <c r="J22" s="13" t="n">
        <v>1057.39</v>
      </c>
      <c r="K22" s="13" t="n">
        <v>0</v>
      </c>
      <c r="L22" s="12" t="n">
        <f aca="false">SUM(B22:J22)</f>
        <v>9516.51</v>
      </c>
      <c r="M22" s="12" t="n">
        <f aca="false">L22/9</f>
        <v>1057.39</v>
      </c>
      <c r="N22" s="12" t="n">
        <f aca="false">AVERAGE(H22:J22)</f>
        <v>1057.39</v>
      </c>
    </row>
    <row r="23" customFormat="false" ht="15" hidden="false" customHeight="false" outlineLevel="0" collapsed="false">
      <c r="A23" s="5" t="s">
        <v>270</v>
      </c>
      <c r="B23" s="13" t="n">
        <v>341.99</v>
      </c>
      <c r="C23" s="13" t="n">
        <v>341.99</v>
      </c>
      <c r="D23" s="13" t="n">
        <v>341.99</v>
      </c>
      <c r="E23" s="13" t="n">
        <v>341.99</v>
      </c>
      <c r="F23" s="13" t="n">
        <v>341.99</v>
      </c>
      <c r="G23" s="13" t="n">
        <v>341.99</v>
      </c>
      <c r="H23" s="13" t="n">
        <v>341.99</v>
      </c>
      <c r="I23" s="13" t="n">
        <v>341.99</v>
      </c>
      <c r="J23" s="13" t="n">
        <v>341.99</v>
      </c>
      <c r="K23" s="13" t="n">
        <v>0</v>
      </c>
      <c r="L23" s="12" t="n">
        <f aca="false">SUM(B23:J23)</f>
        <v>3077.91</v>
      </c>
      <c r="M23" s="12" t="n">
        <f aca="false">L23/9</f>
        <v>341.99</v>
      </c>
      <c r="N23" s="12" t="n">
        <f aca="false">AVERAGE(H23:J23)</f>
        <v>341.99</v>
      </c>
    </row>
    <row r="24" customFormat="false" ht="15" hidden="false" customHeight="false" outlineLevel="0" collapsed="false">
      <c r="A24" s="5" t="s">
        <v>271</v>
      </c>
      <c r="B24" s="13" t="n">
        <v>0</v>
      </c>
      <c r="C24" s="13" t="n">
        <v>408.76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2" t="n">
        <f aca="false">SUM(B24:J24)</f>
        <v>408.76</v>
      </c>
      <c r="M24" s="12" t="n">
        <f aca="false">L24/9</f>
        <v>45.4177777777778</v>
      </c>
      <c r="N24" s="12" t="n">
        <f aca="false">AVERAGE(H24:J24)</f>
        <v>0</v>
      </c>
    </row>
    <row r="25" customFormat="false" ht="15" hidden="false" customHeight="false" outlineLevel="0" collapsed="false">
      <c r="A25" s="5" t="s">
        <v>272</v>
      </c>
      <c r="B25" s="13" t="n">
        <v>856.83</v>
      </c>
      <c r="C25" s="13" t="n">
        <v>857.23</v>
      </c>
      <c r="D25" s="13" t="n">
        <v>857.23</v>
      </c>
      <c r="E25" s="13" t="n">
        <v>857.23</v>
      </c>
      <c r="F25" s="13" t="n">
        <v>857.23</v>
      </c>
      <c r="G25" s="13" t="n">
        <v>857.25</v>
      </c>
      <c r="H25" s="13" t="n">
        <v>818.67</v>
      </c>
      <c r="I25" s="13" t="n">
        <v>819.07</v>
      </c>
      <c r="J25" s="13" t="n">
        <v>819.07</v>
      </c>
      <c r="K25" s="13" t="n">
        <v>819.07</v>
      </c>
      <c r="L25" s="12" t="n">
        <f aca="false">SUM(B25:J25)</f>
        <v>7599.81</v>
      </c>
      <c r="M25" s="12" t="n">
        <f aca="false">L25/9</f>
        <v>844.423333333333</v>
      </c>
      <c r="N25" s="12" t="n">
        <f aca="false">AVERAGE(H25:J25)</f>
        <v>818.936666666667</v>
      </c>
    </row>
    <row r="26" customFormat="false" ht="15" hidden="false" customHeight="false" outlineLevel="0" collapsed="false">
      <c r="A26" s="5" t="s">
        <v>273</v>
      </c>
      <c r="B26" s="13" t="n">
        <v>286.67</v>
      </c>
      <c r="C26" s="13" t="n">
        <v>0</v>
      </c>
      <c r="D26" s="13" t="n">
        <v>573.34</v>
      </c>
      <c r="E26" s="13" t="n">
        <v>1402.6</v>
      </c>
      <c r="F26" s="13" t="n">
        <v>286.67</v>
      </c>
      <c r="G26" s="13" t="n">
        <v>286.67</v>
      </c>
      <c r="H26" s="13" t="n">
        <v>286.67</v>
      </c>
      <c r="I26" s="13" t="n">
        <v>286.67</v>
      </c>
      <c r="J26" s="13" t="n">
        <v>286.67</v>
      </c>
      <c r="K26" s="13" t="n">
        <v>0</v>
      </c>
      <c r="L26" s="12" t="n">
        <f aca="false">SUM(B26:J26)</f>
        <v>3695.96</v>
      </c>
      <c r="M26" s="12" t="n">
        <f aca="false">L26/9</f>
        <v>410.662222222222</v>
      </c>
      <c r="N26" s="12" t="n">
        <f aca="false">AVERAGE(H26:J26)</f>
        <v>286.67</v>
      </c>
    </row>
    <row r="27" customFormat="false" ht="15" hidden="false" customHeight="false" outlineLevel="0" collapsed="false">
      <c r="A27" s="5" t="s">
        <v>274</v>
      </c>
      <c r="B27" s="13" t="n">
        <v>614</v>
      </c>
      <c r="C27" s="13" t="n">
        <v>614</v>
      </c>
      <c r="D27" s="13" t="n">
        <v>614</v>
      </c>
      <c r="E27" s="13" t="n">
        <v>614</v>
      </c>
      <c r="F27" s="13" t="n">
        <v>614</v>
      </c>
      <c r="G27" s="13" t="n">
        <v>614</v>
      </c>
      <c r="H27" s="13" t="n">
        <v>1855.6</v>
      </c>
      <c r="I27" s="13" t="n">
        <v>949</v>
      </c>
      <c r="J27" s="13" t="n">
        <v>949</v>
      </c>
      <c r="K27" s="13" t="n">
        <v>0</v>
      </c>
      <c r="L27" s="12" t="n">
        <f aca="false">SUM(B27:J27)</f>
        <v>7437.6</v>
      </c>
      <c r="M27" s="12" t="n">
        <f aca="false">L27/9</f>
        <v>826.4</v>
      </c>
      <c r="N27" s="12" t="n">
        <f aca="false">AVERAGE(H27:J27)</f>
        <v>1251.2</v>
      </c>
    </row>
    <row r="28" customFormat="false" ht="15" hidden="false" customHeight="false" outlineLevel="0" collapsed="false">
      <c r="A28" s="5" t="s">
        <v>275</v>
      </c>
      <c r="B28" s="13" t="n">
        <v>323.39</v>
      </c>
      <c r="C28" s="13" t="n">
        <v>286.52</v>
      </c>
      <c r="D28" s="13" t="n">
        <v>152.98</v>
      </c>
      <c r="E28" s="13" t="n">
        <v>134.4</v>
      </c>
      <c r="F28" s="13" t="n">
        <v>176.88</v>
      </c>
      <c r="G28" s="13" t="n">
        <v>212.36</v>
      </c>
      <c r="H28" s="13" t="n">
        <v>357.41</v>
      </c>
      <c r="I28" s="13" t="n">
        <v>422.56</v>
      </c>
      <c r="J28" s="13" t="n">
        <v>335.36</v>
      </c>
      <c r="K28" s="13" t="n">
        <v>0</v>
      </c>
      <c r="L28" s="12" t="n">
        <f aca="false">SUM(B28:J28)</f>
        <v>2401.86</v>
      </c>
      <c r="M28" s="12" t="n">
        <f aca="false">L28/9</f>
        <v>266.873333333333</v>
      </c>
      <c r="N28" s="12" t="n">
        <f aca="false">AVERAGE(H28:J28)</f>
        <v>371.776666666667</v>
      </c>
    </row>
    <row r="29" customFormat="false" ht="15" hidden="false" customHeight="false" outlineLevel="0" collapsed="false">
      <c r="A29" s="5" t="s">
        <v>276</v>
      </c>
      <c r="B29" s="13" t="n">
        <v>368.15</v>
      </c>
      <c r="C29" s="13" t="n">
        <v>0</v>
      </c>
      <c r="D29" s="13" t="n">
        <v>0</v>
      </c>
      <c r="E29" s="13" t="n">
        <v>524.1</v>
      </c>
      <c r="F29" s="13" t="n">
        <v>0</v>
      </c>
      <c r="G29" s="13" t="n">
        <v>0</v>
      </c>
      <c r="H29" s="13" t="n">
        <v>376.08</v>
      </c>
      <c r="I29" s="13" t="n">
        <v>0</v>
      </c>
      <c r="J29" s="13" t="n">
        <v>0</v>
      </c>
      <c r="K29" s="13" t="n">
        <v>557.77</v>
      </c>
      <c r="L29" s="12" t="n">
        <f aca="false">SUM(B29:J29)</f>
        <v>1268.33</v>
      </c>
      <c r="M29" s="12" t="n">
        <f aca="false">L29/9</f>
        <v>140.925555555556</v>
      </c>
      <c r="N29" s="12" t="n">
        <f aca="false">AVERAGE(H29:J29)</f>
        <v>125.36</v>
      </c>
    </row>
    <row r="30" customFormat="false" ht="15" hidden="false" customHeight="false" outlineLevel="0" collapsed="false">
      <c r="A30" s="5" t="s">
        <v>277</v>
      </c>
      <c r="B30" s="13" t="n">
        <v>400.62</v>
      </c>
      <c r="C30" s="13" t="n">
        <v>400.57</v>
      </c>
      <c r="D30" s="13" t="n">
        <v>400.57</v>
      </c>
      <c r="E30" s="13" t="n">
        <v>400.57</v>
      </c>
      <c r="F30" s="13" t="n">
        <v>635.47</v>
      </c>
      <c r="G30" s="13" t="n">
        <v>385.27</v>
      </c>
      <c r="H30" s="13" t="n">
        <v>364.91</v>
      </c>
      <c r="I30" s="13" t="n">
        <v>346.53</v>
      </c>
      <c r="J30" s="13" t="n">
        <v>346.53</v>
      </c>
      <c r="K30" s="13" t="n">
        <v>256.54</v>
      </c>
      <c r="L30" s="12" t="n">
        <f aca="false">SUM(B30:J30)</f>
        <v>3681.04</v>
      </c>
      <c r="M30" s="12" t="n">
        <f aca="false">L30/9</f>
        <v>409.004444444444</v>
      </c>
      <c r="N30" s="12" t="n">
        <f aca="false">AVERAGE(H30:J30)</f>
        <v>352.656666666667</v>
      </c>
    </row>
    <row r="31" customFormat="false" ht="15" hidden="false" customHeight="false" outlineLevel="0" collapsed="false">
      <c r="A31" s="5" t="s">
        <v>278</v>
      </c>
      <c r="B31" s="13" t="n">
        <v>134.97</v>
      </c>
      <c r="C31" s="13" t="n">
        <v>94.97</v>
      </c>
      <c r="D31" s="13" t="n">
        <v>137.97</v>
      </c>
      <c r="E31" s="13" t="n">
        <v>263.07</v>
      </c>
      <c r="F31" s="13" t="n">
        <v>137.97</v>
      </c>
      <c r="G31" s="13" t="n">
        <v>137.97</v>
      </c>
      <c r="H31" s="13" t="n">
        <v>137.97</v>
      </c>
      <c r="I31" s="13" t="n">
        <v>97.97</v>
      </c>
      <c r="J31" s="13" t="n">
        <v>137.97</v>
      </c>
      <c r="K31" s="13" t="n">
        <v>25</v>
      </c>
      <c r="L31" s="12" t="n">
        <f aca="false">SUM(B31:J31)</f>
        <v>1280.83</v>
      </c>
      <c r="M31" s="12" t="n">
        <f aca="false">L31/9</f>
        <v>142.314444444444</v>
      </c>
      <c r="N31" s="12" t="n">
        <f aca="false">AVERAGE(H31:J31)</f>
        <v>124.636666666667</v>
      </c>
    </row>
    <row r="32" customFormat="false" ht="15" hidden="false" customHeight="false" outlineLevel="0" collapsed="false">
      <c r="A32" s="5" t="s">
        <v>279</v>
      </c>
      <c r="B32" s="13" t="n">
        <v>178.9</v>
      </c>
      <c r="C32" s="13" t="n">
        <v>151.11</v>
      </c>
      <c r="D32" s="13" t="n">
        <v>1568.16</v>
      </c>
      <c r="E32" s="13" t="n">
        <v>404.32</v>
      </c>
      <c r="F32" s="13" t="n">
        <v>320.95</v>
      </c>
      <c r="G32" s="13" t="n">
        <v>293.16</v>
      </c>
      <c r="H32" s="13" t="n">
        <v>251.16</v>
      </c>
      <c r="I32" s="13" t="n">
        <v>320.95</v>
      </c>
      <c r="J32" s="13" t="n">
        <v>2085.16</v>
      </c>
      <c r="K32" s="13" t="n">
        <v>237.58</v>
      </c>
      <c r="L32" s="12" t="n">
        <f aca="false">SUM(B32:J32)</f>
        <v>5573.87</v>
      </c>
      <c r="M32" s="12" t="n">
        <f aca="false">L32/9</f>
        <v>619.318888888889</v>
      </c>
      <c r="N32" s="12" t="n">
        <f aca="false">AVERAGE(H32:J32)</f>
        <v>885.756666666667</v>
      </c>
    </row>
    <row r="33" customFormat="false" ht="15" hidden="false" customHeight="false" outlineLevel="0" collapsed="false">
      <c r="A33" s="5" t="s">
        <v>280</v>
      </c>
      <c r="B33" s="13" t="n">
        <v>115.5</v>
      </c>
      <c r="C33" s="13" t="n">
        <v>136.75</v>
      </c>
      <c r="D33" s="13" t="n">
        <v>154.15</v>
      </c>
      <c r="E33" s="13" t="n">
        <v>84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174</v>
      </c>
      <c r="K33" s="13" t="n">
        <v>81</v>
      </c>
      <c r="L33" s="12" t="n">
        <f aca="false">SUM(B33:J33)</f>
        <v>664.4</v>
      </c>
      <c r="M33" s="12" t="n">
        <f aca="false">L33/9</f>
        <v>73.8222222222222</v>
      </c>
      <c r="N33" s="12" t="n">
        <f aca="false">AVERAGE(H33:J33)</f>
        <v>58</v>
      </c>
    </row>
    <row r="34" customFormat="false" ht="15" hidden="false" customHeight="false" outlineLevel="0" collapsed="false">
      <c r="A34" s="5" t="s">
        <v>281</v>
      </c>
      <c r="B34" s="13" t="n">
        <v>760</v>
      </c>
      <c r="C34" s="13" t="n">
        <v>730</v>
      </c>
      <c r="D34" s="13" t="n">
        <v>627.5</v>
      </c>
      <c r="E34" s="13" t="n">
        <v>844</v>
      </c>
      <c r="F34" s="13" t="n">
        <v>830</v>
      </c>
      <c r="G34" s="13" t="n">
        <v>1328.57</v>
      </c>
      <c r="H34" s="13" t="n">
        <v>640</v>
      </c>
      <c r="I34" s="13" t="n">
        <v>480</v>
      </c>
      <c r="J34" s="13" t="n">
        <v>975</v>
      </c>
      <c r="K34" s="13" t="n">
        <v>320</v>
      </c>
      <c r="L34" s="12" t="n">
        <f aca="false">SUM(B34:J34)</f>
        <v>7215.07</v>
      </c>
      <c r="M34" s="12" t="n">
        <f aca="false">L34/9</f>
        <v>801.674444444444</v>
      </c>
      <c r="N34" s="12" t="n">
        <f aca="false">AVERAGE(H34:J34)</f>
        <v>698.333333333333</v>
      </c>
    </row>
    <row r="35" customFormat="false" ht="15" hidden="false" customHeight="false" outlineLevel="0" collapsed="false">
      <c r="A35" s="5" t="s">
        <v>282</v>
      </c>
      <c r="B35" s="13" t="n">
        <v>155</v>
      </c>
      <c r="C35" s="13" t="n">
        <v>120</v>
      </c>
      <c r="D35" s="13" t="n">
        <v>360</v>
      </c>
      <c r="E35" s="13" t="n">
        <v>458</v>
      </c>
      <c r="F35" s="13" t="n">
        <v>70</v>
      </c>
      <c r="G35" s="13" t="n">
        <v>0</v>
      </c>
      <c r="H35" s="13" t="n">
        <v>187.72</v>
      </c>
      <c r="I35" s="13" t="n">
        <v>0</v>
      </c>
      <c r="J35" s="13" t="n">
        <v>0</v>
      </c>
      <c r="K35" s="13" t="n">
        <v>470</v>
      </c>
      <c r="L35" s="12" t="n">
        <f aca="false">SUM(B35:J35)</f>
        <v>1350.72</v>
      </c>
      <c r="M35" s="12" t="n">
        <f aca="false">L35/9</f>
        <v>150.08</v>
      </c>
      <c r="N35" s="12" t="n">
        <f aca="false">AVERAGE(H35:J35)</f>
        <v>62.5733333333333</v>
      </c>
    </row>
    <row r="36" customFormat="false" ht="15" hidden="false" customHeight="false" outlineLevel="0" collapsed="false">
      <c r="A36" s="5" t="s">
        <v>152</v>
      </c>
      <c r="B36" s="13" t="n">
        <v>138.58</v>
      </c>
      <c r="C36" s="13" t="n">
        <v>365.71</v>
      </c>
      <c r="D36" s="13" t="n">
        <v>213.05</v>
      </c>
      <c r="E36" s="13" t="n">
        <v>225.52</v>
      </c>
      <c r="F36" s="13" t="n">
        <v>1546.74</v>
      </c>
      <c r="G36" s="13" t="n">
        <v>1578.48</v>
      </c>
      <c r="H36" s="13" t="n">
        <v>885.06</v>
      </c>
      <c r="I36" s="13" t="n">
        <v>957.82</v>
      </c>
      <c r="J36" s="13" t="n">
        <v>689.44</v>
      </c>
      <c r="K36" s="13" t="n">
        <v>73.48</v>
      </c>
      <c r="L36" s="12" t="n">
        <f aca="false">SUM(B36:J36)</f>
        <v>6600.4</v>
      </c>
      <c r="M36" s="12" t="n">
        <f aca="false">L36/9</f>
        <v>733.377777777778</v>
      </c>
      <c r="N36" s="12" t="n">
        <f aca="false">AVERAGE(H36:J36)</f>
        <v>844.106666666667</v>
      </c>
    </row>
    <row r="37" customFormat="false" ht="15" hidden="false" customHeight="false" outlineLevel="0" collapsed="false">
      <c r="A37" s="5" t="s">
        <v>283</v>
      </c>
      <c r="B37" s="13" t="n">
        <v>473.56</v>
      </c>
      <c r="C37" s="13" t="n">
        <v>712.18</v>
      </c>
      <c r="D37" s="13" t="n">
        <v>476.68</v>
      </c>
      <c r="E37" s="13" t="n">
        <v>2456.3</v>
      </c>
      <c r="F37" s="13" t="n">
        <v>403.85</v>
      </c>
      <c r="G37" s="13" t="n">
        <v>1678.58</v>
      </c>
      <c r="H37" s="13" t="n">
        <v>937.88</v>
      </c>
      <c r="I37" s="13" t="n">
        <v>667.71</v>
      </c>
      <c r="J37" s="13" t="n">
        <v>879.29</v>
      </c>
      <c r="K37" s="13" t="n">
        <v>506.63</v>
      </c>
      <c r="L37" s="12" t="n">
        <f aca="false">SUM(B37:J37)</f>
        <v>8686.03</v>
      </c>
      <c r="M37" s="12" t="n">
        <f aca="false">L37/9</f>
        <v>965.114444444444</v>
      </c>
      <c r="N37" s="12" t="n">
        <f aca="false">AVERAGE(H37:J37)</f>
        <v>828.293333333333</v>
      </c>
    </row>
    <row r="38" customFormat="false" ht="15" hidden="false" customHeight="false" outlineLevel="0" collapsed="false">
      <c r="A38" s="5" t="s">
        <v>284</v>
      </c>
      <c r="B38" s="13" t="n">
        <v>431.52</v>
      </c>
      <c r="C38" s="13" t="n">
        <v>492.97</v>
      </c>
      <c r="D38" s="13" t="n">
        <v>336.32</v>
      </c>
      <c r="E38" s="13" t="n">
        <v>195.47</v>
      </c>
      <c r="F38" s="13" t="n">
        <v>339.41</v>
      </c>
      <c r="G38" s="13" t="n">
        <v>202.29</v>
      </c>
      <c r="H38" s="13" t="n">
        <v>359.42</v>
      </c>
      <c r="I38" s="13" t="n">
        <v>357.17</v>
      </c>
      <c r="J38" s="13" t="n">
        <v>213.17</v>
      </c>
      <c r="K38" s="13" t="n">
        <v>167.07</v>
      </c>
      <c r="L38" s="12" t="n">
        <f aca="false">SUM(B38:J38)</f>
        <v>2927.74</v>
      </c>
      <c r="M38" s="12" t="n">
        <f aca="false">L38/9</f>
        <v>325.304444444444</v>
      </c>
      <c r="N38" s="12" t="n">
        <f aca="false">AVERAGE(H38:J38)</f>
        <v>309.92</v>
      </c>
    </row>
    <row r="39" customFormat="false" ht="15" hidden="false" customHeight="false" outlineLevel="0" collapsed="false">
      <c r="A39" s="5" t="s">
        <v>285</v>
      </c>
      <c r="B39" s="13" t="n">
        <v>359.9</v>
      </c>
      <c r="C39" s="13" t="n">
        <v>473.27</v>
      </c>
      <c r="D39" s="13" t="n">
        <v>892.86</v>
      </c>
      <c r="E39" s="13" t="n">
        <v>280.16</v>
      </c>
      <c r="F39" s="13" t="n">
        <v>261.5</v>
      </c>
      <c r="G39" s="13" t="n">
        <v>871.3</v>
      </c>
      <c r="H39" s="13" t="n">
        <v>507.16</v>
      </c>
      <c r="I39" s="13" t="n">
        <v>464.71</v>
      </c>
      <c r="J39" s="13" t="n">
        <v>863.39</v>
      </c>
      <c r="K39" s="13" t="n">
        <v>195.9</v>
      </c>
      <c r="L39" s="12" t="n">
        <f aca="false">SUM(B39:J39)</f>
        <v>4974.25</v>
      </c>
      <c r="M39" s="12" t="n">
        <f aca="false">L39/9</f>
        <v>552.694444444445</v>
      </c>
      <c r="N39" s="12" t="n">
        <f aca="false">AVERAGE(H39:J39)</f>
        <v>611.753333333333</v>
      </c>
    </row>
    <row r="40" customFormat="false" ht="15" hidden="false" customHeight="false" outlineLevel="0" collapsed="false">
      <c r="A40" s="5" t="s">
        <v>286</v>
      </c>
      <c r="B40" s="13" t="n">
        <v>27.6</v>
      </c>
      <c r="C40" s="13" t="n">
        <v>86.29</v>
      </c>
      <c r="D40" s="13" t="n">
        <v>23.34</v>
      </c>
      <c r="E40" s="13" t="n">
        <v>62.64</v>
      </c>
      <c r="F40" s="13" t="n">
        <v>1523.8</v>
      </c>
      <c r="G40" s="13" t="n">
        <v>1365.13</v>
      </c>
      <c r="H40" s="13" t="n">
        <v>255.33</v>
      </c>
      <c r="I40" s="13" t="n">
        <v>47.65</v>
      </c>
      <c r="J40" s="13" t="n">
        <v>785.23</v>
      </c>
      <c r="K40" s="13" t="n">
        <v>52.23</v>
      </c>
      <c r="L40" s="12" t="n">
        <f aca="false">SUM(B40:J40)</f>
        <v>4177.01</v>
      </c>
      <c r="M40" s="12" t="n">
        <f aca="false">L40/9</f>
        <v>464.112222222222</v>
      </c>
      <c r="N40" s="12" t="n">
        <f aca="false">AVERAGE(H40:J40)</f>
        <v>362.736666666667</v>
      </c>
    </row>
    <row r="41" customFormat="false" ht="15" hidden="false" customHeight="false" outlineLevel="0" collapsed="false">
      <c r="A41" s="5" t="s">
        <v>287</v>
      </c>
      <c r="B41" s="13" t="n">
        <v>557.68</v>
      </c>
      <c r="C41" s="13" t="n">
        <v>843.05</v>
      </c>
      <c r="D41" s="13" t="n">
        <v>1430.92</v>
      </c>
      <c r="E41" s="13" t="n">
        <v>403.89</v>
      </c>
      <c r="F41" s="13" t="n">
        <v>1533.68</v>
      </c>
      <c r="G41" s="13" t="n">
        <v>2069.87</v>
      </c>
      <c r="H41" s="13" t="n">
        <v>743.37</v>
      </c>
      <c r="I41" s="13" t="n">
        <v>613.74</v>
      </c>
      <c r="J41" s="13" t="n">
        <v>997.89</v>
      </c>
      <c r="K41" s="13" t="n">
        <v>127.11</v>
      </c>
      <c r="L41" s="12" t="n">
        <f aca="false">SUM(B41:J41)</f>
        <v>9194.09</v>
      </c>
      <c r="M41" s="12" t="n">
        <f aca="false">L41/9</f>
        <v>1021.56555555556</v>
      </c>
      <c r="N41" s="12" t="n">
        <f aca="false">AVERAGE(H41:J41)</f>
        <v>785</v>
      </c>
    </row>
    <row r="42" customFormat="false" ht="15" hidden="false" customHeight="false" outlineLevel="0" collapsed="false">
      <c r="A42" s="5" t="s">
        <v>288</v>
      </c>
      <c r="B42" s="13" t="n">
        <v>385.13</v>
      </c>
      <c r="C42" s="13" t="n">
        <v>1228.94</v>
      </c>
      <c r="D42" s="13" t="n">
        <v>337.7</v>
      </c>
      <c r="E42" s="13" t="n">
        <v>0</v>
      </c>
      <c r="F42" s="13" t="n">
        <v>260.06</v>
      </c>
      <c r="G42" s="13" t="n">
        <v>60.8</v>
      </c>
      <c r="H42" s="13" t="n">
        <v>771.31</v>
      </c>
      <c r="I42" s="13" t="n">
        <v>0</v>
      </c>
      <c r="J42" s="13" t="n">
        <v>69.82</v>
      </c>
      <c r="K42" s="13" t="n">
        <v>326.63</v>
      </c>
      <c r="L42" s="12" t="n">
        <f aca="false">SUM(B42:J42)</f>
        <v>3113.76</v>
      </c>
      <c r="M42" s="12" t="n">
        <f aca="false">L42/9</f>
        <v>345.973333333333</v>
      </c>
      <c r="N42" s="12" t="n">
        <f aca="false">AVERAGE(H42:J42)</f>
        <v>280.376666666667</v>
      </c>
    </row>
    <row r="43" customFormat="false" ht="15" hidden="false" customHeight="false" outlineLevel="0" collapsed="false">
      <c r="A43" s="5" t="s">
        <v>289</v>
      </c>
      <c r="B43" s="13" t="n">
        <v>209</v>
      </c>
      <c r="C43" s="13" t="n">
        <v>0</v>
      </c>
      <c r="D43" s="13" t="n">
        <v>106.25</v>
      </c>
      <c r="E43" s="13" t="n">
        <v>265.09</v>
      </c>
      <c r="F43" s="13" t="n">
        <v>120</v>
      </c>
      <c r="G43" s="13" t="n">
        <v>294.87</v>
      </c>
      <c r="H43" s="13" t="n">
        <v>229.63</v>
      </c>
      <c r="I43" s="13" t="n">
        <v>0</v>
      </c>
      <c r="J43" s="13" t="n">
        <v>71.9</v>
      </c>
      <c r="K43" s="13" t="n">
        <v>0</v>
      </c>
      <c r="L43" s="12" t="n">
        <f aca="false">SUM(B43:J43)</f>
        <v>1296.74</v>
      </c>
      <c r="M43" s="12" t="n">
        <f aca="false">L43/9</f>
        <v>144.082222222222</v>
      </c>
      <c r="N43" s="12" t="n">
        <f aca="false">AVERAGE(H43:J43)</f>
        <v>100.51</v>
      </c>
    </row>
    <row r="44" customFormat="false" ht="15" hidden="false" customHeight="false" outlineLevel="0" collapsed="false">
      <c r="A44" s="5" t="s">
        <v>290</v>
      </c>
      <c r="B44" s="13" t="n">
        <v>266.15</v>
      </c>
      <c r="C44" s="13" t="n">
        <v>79.63</v>
      </c>
      <c r="D44" s="13" t="n">
        <v>195</v>
      </c>
      <c r="E44" s="13" t="n">
        <v>33.27</v>
      </c>
      <c r="F44" s="13" t="n">
        <v>70.97</v>
      </c>
      <c r="G44" s="13" t="n">
        <v>29.74</v>
      </c>
      <c r="H44" s="13" t="n">
        <v>144.61</v>
      </c>
      <c r="I44" s="13" t="n">
        <v>18</v>
      </c>
      <c r="J44" s="13" t="n">
        <v>26.74</v>
      </c>
      <c r="K44" s="13" t="n">
        <v>35.35</v>
      </c>
      <c r="L44" s="12" t="n">
        <f aca="false">SUM(B44:J44)</f>
        <v>864.11</v>
      </c>
      <c r="M44" s="12" t="n">
        <f aca="false">L44/9</f>
        <v>96.0122222222222</v>
      </c>
      <c r="N44" s="12" t="n">
        <f aca="false">AVERAGE(H44:J44)</f>
        <v>63.1166666666667</v>
      </c>
    </row>
    <row r="45" customFormat="false" ht="15" hidden="false" customHeight="false" outlineLevel="0" collapsed="false">
      <c r="A45" s="5" t="s">
        <v>76</v>
      </c>
      <c r="B45" s="13" t="n">
        <v>501.45</v>
      </c>
      <c r="C45" s="13" t="n">
        <v>498</v>
      </c>
      <c r="D45" s="13" t="n">
        <v>501.45</v>
      </c>
      <c r="E45" s="13" t="n">
        <v>498</v>
      </c>
      <c r="F45" s="13" t="n">
        <v>498</v>
      </c>
      <c r="G45" s="13" t="n">
        <v>498</v>
      </c>
      <c r="H45" s="13" t="n">
        <v>498</v>
      </c>
      <c r="I45" s="13" t="n">
        <v>498</v>
      </c>
      <c r="J45" s="13" t="n">
        <v>498</v>
      </c>
      <c r="K45" s="13" t="n">
        <v>498</v>
      </c>
      <c r="L45" s="12" t="n">
        <f aca="false">SUM(B45:J45)</f>
        <v>4488.9</v>
      </c>
      <c r="M45" s="12" t="n">
        <f aca="false">L45/9</f>
        <v>498.766666666667</v>
      </c>
      <c r="N45" s="12" t="n">
        <f aca="false">AVERAGE(H45:J45)</f>
        <v>498</v>
      </c>
    </row>
    <row r="46" customFormat="false" ht="15" hidden="false" customHeight="false" outlineLevel="0" collapsed="false">
      <c r="A46" s="5" t="s">
        <v>291</v>
      </c>
      <c r="B46" s="13" t="n">
        <v>469.36</v>
      </c>
      <c r="C46" s="13" t="n">
        <v>438.12</v>
      </c>
      <c r="D46" s="13" t="n">
        <v>543.49</v>
      </c>
      <c r="E46" s="13" t="n">
        <v>438.12</v>
      </c>
      <c r="F46" s="13" t="n">
        <v>420.18</v>
      </c>
      <c r="G46" s="13" t="n">
        <v>553.74</v>
      </c>
      <c r="H46" s="13" t="n">
        <v>470.68</v>
      </c>
      <c r="I46" s="13" t="n">
        <v>570.8</v>
      </c>
      <c r="J46" s="13" t="n">
        <v>438.12</v>
      </c>
      <c r="K46" s="13" t="n">
        <v>447.73</v>
      </c>
      <c r="L46" s="12" t="n">
        <f aca="false">SUM(B46:J46)</f>
        <v>4342.61</v>
      </c>
      <c r="M46" s="12" t="n">
        <f aca="false">L46/9</f>
        <v>482.512222222222</v>
      </c>
      <c r="N46" s="12" t="n">
        <f aca="false">AVERAGE(H46:J46)</f>
        <v>493.2</v>
      </c>
    </row>
    <row r="47" customFormat="false" ht="15" hidden="false" customHeight="false" outlineLevel="0" collapsed="false">
      <c r="A47" s="5" t="s">
        <v>80</v>
      </c>
      <c r="B47" s="13" t="n">
        <v>1.11</v>
      </c>
      <c r="C47" s="13" t="n">
        <v>100</v>
      </c>
      <c r="D47" s="13" t="n">
        <v>100</v>
      </c>
      <c r="E47" s="13" t="n">
        <v>107.9</v>
      </c>
      <c r="F47" s="13" t="n">
        <v>117.31</v>
      </c>
      <c r="G47" s="13" t="n">
        <v>201</v>
      </c>
      <c r="H47" s="13" t="n">
        <v>240</v>
      </c>
      <c r="I47" s="13" t="n">
        <v>160</v>
      </c>
      <c r="J47" s="13" t="n">
        <v>220</v>
      </c>
      <c r="K47" s="13" t="n">
        <v>60</v>
      </c>
      <c r="L47" s="12" t="n">
        <f aca="false">SUM(B47:J47)</f>
        <v>1247.32</v>
      </c>
      <c r="M47" s="12" t="n">
        <f aca="false">L47/9</f>
        <v>138.591111111111</v>
      </c>
      <c r="N47" s="12" t="n">
        <f aca="false">AVERAGE(H47:J47)</f>
        <v>206.666666666667</v>
      </c>
    </row>
    <row r="48" customFormat="false" ht="15" hidden="false" customHeight="false" outlineLevel="0" collapsed="false">
      <c r="A48" s="5" t="s">
        <v>292</v>
      </c>
      <c r="B48" s="13" t="n">
        <v>72.9</v>
      </c>
      <c r="C48" s="13" t="n">
        <v>0</v>
      </c>
      <c r="D48" s="13" t="n">
        <v>65.9</v>
      </c>
      <c r="E48" s="13" t="n">
        <v>35.01</v>
      </c>
      <c r="F48" s="13" t="n">
        <v>35.01</v>
      </c>
      <c r="G48" s="13" t="n">
        <v>143.42</v>
      </c>
      <c r="H48" s="13" t="n">
        <v>129.84</v>
      </c>
      <c r="I48" s="13" t="n">
        <v>34.77</v>
      </c>
      <c r="J48" s="13" t="n">
        <v>115.23</v>
      </c>
      <c r="K48" s="13" t="n">
        <v>22.31</v>
      </c>
      <c r="L48" s="12" t="n">
        <f aca="false">SUM(B48:J48)</f>
        <v>632.08</v>
      </c>
      <c r="M48" s="12" t="n">
        <f aca="false">L48/9</f>
        <v>70.2311111111111</v>
      </c>
      <c r="N48" s="12" t="n">
        <f aca="false">AVERAGE(H48:J48)</f>
        <v>93.28</v>
      </c>
    </row>
    <row r="49" customFormat="false" ht="15" hidden="false" customHeight="false" outlineLevel="0" collapsed="false">
      <c r="A49" s="5" t="s">
        <v>293</v>
      </c>
      <c r="B49" s="13" t="n">
        <v>0.5</v>
      </c>
      <c r="C49" s="13" t="n">
        <v>0</v>
      </c>
      <c r="D49" s="13" t="n">
        <v>42.47</v>
      </c>
      <c r="E49" s="13" t="n">
        <v>0</v>
      </c>
      <c r="F49" s="13" t="n">
        <v>0</v>
      </c>
      <c r="G49" s="13" t="n">
        <v>0</v>
      </c>
      <c r="H49" s="13" t="n">
        <v>62.65</v>
      </c>
      <c r="I49" s="13" t="n">
        <v>597.77</v>
      </c>
      <c r="J49" s="13" t="n">
        <v>232.08</v>
      </c>
      <c r="K49" s="13" t="n">
        <v>0</v>
      </c>
      <c r="L49" s="12" t="n">
        <f aca="false">SUM(B49:J49)</f>
        <v>935.47</v>
      </c>
      <c r="M49" s="12" t="n">
        <f aca="false">L49/9</f>
        <v>103.941111111111</v>
      </c>
      <c r="N49" s="12" t="n">
        <f aca="false">AVERAGE(H49:J49)</f>
        <v>297.5</v>
      </c>
    </row>
    <row r="50" customFormat="false" ht="15" hidden="false" customHeight="false" outlineLevel="0" collapsed="false">
      <c r="A50" s="5" t="s">
        <v>294</v>
      </c>
      <c r="B50" s="13" t="n">
        <v>355.78</v>
      </c>
      <c r="C50" s="13" t="n">
        <v>318.87</v>
      </c>
      <c r="D50" s="13" t="n">
        <v>343.82</v>
      </c>
      <c r="E50" s="13" t="n">
        <v>205.92</v>
      </c>
      <c r="F50" s="13" t="n">
        <v>208.37</v>
      </c>
      <c r="G50" s="13" t="n">
        <v>218.38</v>
      </c>
      <c r="H50" s="13" t="n">
        <v>418.32</v>
      </c>
      <c r="I50" s="13" t="n">
        <v>732.71</v>
      </c>
      <c r="J50" s="13" t="n">
        <v>564.91</v>
      </c>
      <c r="K50" s="13" t="n">
        <v>73.82</v>
      </c>
      <c r="L50" s="12" t="n">
        <f aca="false">SUM(B50:J50)</f>
        <v>3367.08</v>
      </c>
      <c r="M50" s="12" t="n">
        <f aca="false">L50/9</f>
        <v>374.12</v>
      </c>
      <c r="N50" s="12" t="n">
        <f aca="false">AVERAGE(H50:J50)</f>
        <v>571.98</v>
      </c>
    </row>
    <row r="51" customFormat="false" ht="15" hidden="false" customHeight="false" outlineLevel="0" collapsed="false">
      <c r="A51" s="5" t="s">
        <v>295</v>
      </c>
      <c r="B51" s="13" t="n">
        <v>97.3</v>
      </c>
      <c r="C51" s="13" t="n">
        <v>196.24</v>
      </c>
      <c r="D51" s="13" t="n">
        <v>300.17</v>
      </c>
      <c r="E51" s="13" t="n">
        <v>162.29</v>
      </c>
      <c r="F51" s="13" t="n">
        <v>210.22</v>
      </c>
      <c r="G51" s="13" t="n">
        <v>202.24</v>
      </c>
      <c r="H51" s="13" t="n">
        <v>300.18</v>
      </c>
      <c r="I51" s="13" t="n">
        <v>202.24</v>
      </c>
      <c r="J51" s="13" t="n">
        <v>254.42</v>
      </c>
      <c r="K51" s="13" t="n">
        <v>152.91</v>
      </c>
      <c r="L51" s="12" t="n">
        <f aca="false">SUM(B51:J51)</f>
        <v>1925.3</v>
      </c>
      <c r="M51" s="12" t="n">
        <f aca="false">L51/9</f>
        <v>213.922222222222</v>
      </c>
      <c r="N51" s="12" t="n">
        <f aca="false">AVERAGE(H51:J51)</f>
        <v>252.28</v>
      </c>
    </row>
    <row r="52" customFormat="false" ht="15" hidden="false" customHeight="false" outlineLevel="0" collapsed="false">
      <c r="A52" s="5" t="s">
        <v>296</v>
      </c>
      <c r="B52" s="13" t="n">
        <v>129.41</v>
      </c>
      <c r="C52" s="13" t="n">
        <v>115.76</v>
      </c>
      <c r="D52" s="13" t="n">
        <v>431.55</v>
      </c>
      <c r="E52" s="13" t="n">
        <v>148.25</v>
      </c>
      <c r="F52" s="13" t="n">
        <v>165.46</v>
      </c>
      <c r="G52" s="13" t="n">
        <v>135.4</v>
      </c>
      <c r="H52" s="13" t="n">
        <v>160.1</v>
      </c>
      <c r="I52" s="13" t="n">
        <v>162.95</v>
      </c>
      <c r="J52" s="13" t="n">
        <v>135.32</v>
      </c>
      <c r="K52" s="13" t="n">
        <v>23.62</v>
      </c>
      <c r="L52" s="12" t="n">
        <f aca="false">SUM(B52:J52)</f>
        <v>1584.2</v>
      </c>
      <c r="M52" s="12" t="n">
        <f aca="false">L52/9</f>
        <v>176.022222222222</v>
      </c>
      <c r="N52" s="12" t="n">
        <f aca="false">AVERAGE(H52:J52)</f>
        <v>152.79</v>
      </c>
    </row>
    <row r="53" customFormat="false" ht="15" hidden="false" customHeight="false" outlineLevel="0" collapsed="false">
      <c r="A53" s="5" t="s">
        <v>297</v>
      </c>
      <c r="B53" s="13" t="n">
        <v>465.78</v>
      </c>
      <c r="C53" s="13" t="n">
        <v>77.06</v>
      </c>
      <c r="D53" s="13" t="n">
        <v>179.06</v>
      </c>
      <c r="E53" s="13" t="n">
        <v>649.64</v>
      </c>
      <c r="F53" s="13" t="n">
        <v>434.08</v>
      </c>
      <c r="G53" s="13" t="n">
        <v>158.89</v>
      </c>
      <c r="H53" s="13" t="n">
        <v>402.31</v>
      </c>
      <c r="I53" s="13" t="n">
        <v>52.64</v>
      </c>
      <c r="J53" s="13" t="n">
        <v>265.13</v>
      </c>
      <c r="K53" s="13" t="n">
        <v>31.88</v>
      </c>
      <c r="L53" s="12" t="n">
        <f aca="false">SUM(B53:J53)</f>
        <v>2684.59</v>
      </c>
      <c r="M53" s="12" t="n">
        <f aca="false">L53/9</f>
        <v>298.287777777778</v>
      </c>
      <c r="N53" s="12" t="n">
        <f aca="false">AVERAGE(H53:J53)</f>
        <v>240.026666666667</v>
      </c>
    </row>
    <row r="54" customFormat="false" ht="15" hidden="false" customHeight="false" outlineLevel="0" collapsed="false">
      <c r="A54" s="5" t="s">
        <v>298</v>
      </c>
      <c r="B54" s="13" t="n">
        <v>240</v>
      </c>
      <c r="C54" s="13" t="n">
        <v>131.98</v>
      </c>
      <c r="D54" s="13" t="n">
        <v>75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115</v>
      </c>
      <c r="K54" s="13" t="n">
        <v>0</v>
      </c>
      <c r="L54" s="12" t="n">
        <f aca="false">SUM(B54:J54)</f>
        <v>561.98</v>
      </c>
      <c r="M54" s="12" t="n">
        <f aca="false">L54/9</f>
        <v>62.4422222222222</v>
      </c>
      <c r="N54" s="12" t="n">
        <f aca="false">AVERAGE(H54:J54)</f>
        <v>38.3333333333333</v>
      </c>
    </row>
    <row r="55" customFormat="false" ht="15" hidden="false" customHeight="false" outlineLevel="0" collapsed="false">
      <c r="A55" s="5" t="s">
        <v>299</v>
      </c>
      <c r="B55" s="13" t="n">
        <v>729.5</v>
      </c>
      <c r="C55" s="13" t="n">
        <v>325.4</v>
      </c>
      <c r="D55" s="13" t="n">
        <v>263.98</v>
      </c>
      <c r="E55" s="13" t="n">
        <v>64.75</v>
      </c>
      <c r="F55" s="13" t="n">
        <v>149.53</v>
      </c>
      <c r="G55" s="13" t="n">
        <v>214.54</v>
      </c>
      <c r="H55" s="13" t="n">
        <v>254.69</v>
      </c>
      <c r="I55" s="13" t="n">
        <v>496.52</v>
      </c>
      <c r="J55" s="13" t="n">
        <v>135.83</v>
      </c>
      <c r="K55" s="13" t="n">
        <v>488.2</v>
      </c>
      <c r="L55" s="12" t="n">
        <f aca="false">SUM(B55:J55)</f>
        <v>2634.74</v>
      </c>
      <c r="M55" s="12" t="n">
        <f aca="false">L55/9</f>
        <v>292.748888888889</v>
      </c>
      <c r="N55" s="12" t="n">
        <f aca="false">AVERAGE(H55:J55)</f>
        <v>295.68</v>
      </c>
    </row>
    <row r="56" customFormat="false" ht="15" hidden="false" customHeight="false" outlineLevel="0" collapsed="false">
      <c r="A56" s="5" t="s">
        <v>300</v>
      </c>
      <c r="B56" s="13" t="n">
        <v>2.25</v>
      </c>
      <c r="C56" s="13" t="n">
        <v>321</v>
      </c>
      <c r="D56" s="13" t="n">
        <v>0</v>
      </c>
      <c r="E56" s="13" t="n">
        <v>339</v>
      </c>
      <c r="F56" s="13" t="n">
        <v>121.26</v>
      </c>
      <c r="G56" s="13" t="n">
        <v>501.31</v>
      </c>
      <c r="H56" s="13" t="n">
        <v>46.69</v>
      </c>
      <c r="I56" s="13" t="n">
        <v>554.51</v>
      </c>
      <c r="J56" s="13" t="n">
        <v>0</v>
      </c>
      <c r="K56" s="13" t="n">
        <v>241.8</v>
      </c>
      <c r="L56" s="12" t="n">
        <f aca="false">SUM(B56:J56)</f>
        <v>1886.02</v>
      </c>
      <c r="M56" s="12" t="n">
        <f aca="false">L56/9</f>
        <v>209.557777777778</v>
      </c>
      <c r="N56" s="12" t="n">
        <f aca="false">AVERAGE(H56:J56)</f>
        <v>200.4</v>
      </c>
    </row>
    <row r="57" customFormat="false" ht="15" hidden="false" customHeight="false" outlineLevel="0" collapsed="false">
      <c r="A57" s="5" t="s">
        <v>301</v>
      </c>
      <c r="B57" s="13" t="n">
        <v>0</v>
      </c>
      <c r="C57" s="13" t="n">
        <v>0</v>
      </c>
      <c r="D57" s="13" t="n">
        <v>288</v>
      </c>
      <c r="E57" s="13" t="n">
        <v>0</v>
      </c>
      <c r="F57" s="13" t="n">
        <v>0</v>
      </c>
      <c r="G57" s="13" t="n">
        <v>374.37</v>
      </c>
      <c r="H57" s="13" t="n">
        <v>295</v>
      </c>
      <c r="I57" s="13" t="n">
        <v>0</v>
      </c>
      <c r="J57" s="13" t="n">
        <v>56.72</v>
      </c>
      <c r="K57" s="13" t="n">
        <v>0</v>
      </c>
      <c r="L57" s="12" t="n">
        <f aca="false">SUM(B57:J57)</f>
        <v>1014.09</v>
      </c>
      <c r="M57" s="12" t="n">
        <f aca="false">L57/9</f>
        <v>112.676666666667</v>
      </c>
      <c r="N57" s="12" t="n">
        <f aca="false">AVERAGE(H57:J57)</f>
        <v>117.24</v>
      </c>
    </row>
    <row r="58" customFormat="false" ht="15" hidden="false" customHeight="false" outlineLevel="0" collapsed="false">
      <c r="A58" s="5" t="s">
        <v>302</v>
      </c>
      <c r="B58" s="13" t="n">
        <v>127.73</v>
      </c>
      <c r="C58" s="13" t="n">
        <v>368.99</v>
      </c>
      <c r="D58" s="13" t="n">
        <v>82.91</v>
      </c>
      <c r="E58" s="13" t="n">
        <v>368.97</v>
      </c>
      <c r="F58" s="13" t="n">
        <v>138.04</v>
      </c>
      <c r="G58" s="13" t="n">
        <v>0</v>
      </c>
      <c r="H58" s="13" t="n">
        <v>267.33</v>
      </c>
      <c r="I58" s="13" t="n">
        <v>210.76</v>
      </c>
      <c r="J58" s="13" t="n">
        <v>0</v>
      </c>
      <c r="K58" s="13" t="n">
        <v>0</v>
      </c>
      <c r="L58" s="12" t="n">
        <f aca="false">SUM(B58:J58)</f>
        <v>1564.73</v>
      </c>
      <c r="M58" s="12" t="n">
        <f aca="false">L58/9</f>
        <v>173.858888888889</v>
      </c>
      <c r="N58" s="12" t="n">
        <f aca="false">AVERAGE(H58:J58)</f>
        <v>159.363333333333</v>
      </c>
    </row>
    <row r="59" customFormat="false" ht="15" hidden="false" customHeight="false" outlineLevel="0" collapsed="false">
      <c r="A59" s="15" t="s">
        <v>260</v>
      </c>
      <c r="B59" s="17" t="n">
        <f aca="false">SUM(B20:B58)</f>
        <v>19667.52</v>
      </c>
      <c r="C59" s="17" t="n">
        <f aca="false">SUM(C20:C58)</f>
        <v>20404.67</v>
      </c>
      <c r="D59" s="17" t="n">
        <f aca="false">SUM(D20:D58)</f>
        <v>22107.12</v>
      </c>
      <c r="E59" s="17" t="n">
        <f aca="false">SUM(E20:E58)</f>
        <v>22357.78</v>
      </c>
      <c r="F59" s="17" t="n">
        <f aca="false">SUM(F20:F58)</f>
        <v>21917.94</v>
      </c>
      <c r="G59" s="17" t="n">
        <f aca="false">SUM(G20:G58)</f>
        <v>24898.9</v>
      </c>
      <c r="H59" s="17" t="n">
        <f aca="false">SUM(H20:H58)</f>
        <v>23087.05</v>
      </c>
      <c r="I59" s="17" t="n">
        <f aca="false">SUM(I20:I58)</f>
        <v>20554.52</v>
      </c>
      <c r="J59" s="17" t="n">
        <f aca="false">SUM(J20:J58)</f>
        <v>23167.69</v>
      </c>
      <c r="K59" s="17" t="n">
        <f aca="false">SUM(K20:K58)</f>
        <v>14323.55</v>
      </c>
      <c r="L59" s="17" t="n">
        <f aca="false">SUM(L20:L58)</f>
        <v>198163.19</v>
      </c>
      <c r="M59" s="17" t="n">
        <f aca="false">SUM(M20:M58)</f>
        <v>22018.1322222222</v>
      </c>
      <c r="N59" s="17" t="n">
        <f aca="false">SUM(N20:N58)</f>
        <v>22269.7533333333</v>
      </c>
    </row>
    <row r="61" customFormat="false" ht="15" hidden="false" customHeight="false" outlineLevel="0" collapsed="false">
      <c r="A61" s="8" t="s">
        <v>303</v>
      </c>
      <c r="B61" s="31" t="n">
        <f aca="false">B17+B59</f>
        <v>24684.05</v>
      </c>
      <c r="C61" s="31" t="n">
        <f aca="false">C17+C59</f>
        <v>27719.87</v>
      </c>
      <c r="D61" s="31" t="n">
        <f aca="false">D17+D59</f>
        <v>56439.39</v>
      </c>
      <c r="E61" s="31" t="n">
        <f aca="false">E17+E59</f>
        <v>22907.78</v>
      </c>
      <c r="F61" s="31" t="n">
        <f aca="false">F17+F59</f>
        <v>44473.94</v>
      </c>
      <c r="G61" s="31" t="n">
        <f aca="false">G17+G59</f>
        <v>26238.9</v>
      </c>
      <c r="H61" s="31" t="n">
        <f aca="false">H17+H59</f>
        <v>32051.74</v>
      </c>
      <c r="I61" s="31" t="n">
        <f aca="false">I17+I59</f>
        <v>22904.52</v>
      </c>
      <c r="J61" s="31" t="n">
        <f aca="false">J17+J59</f>
        <v>25351.77</v>
      </c>
      <c r="K61" s="31" t="n">
        <f aca="false">K17+K59</f>
        <v>14323.55</v>
      </c>
      <c r="L61" s="31" t="n">
        <f aca="false">L17+L59</f>
        <v>282771.96</v>
      </c>
      <c r="M61" s="31" t="n">
        <f aca="false">M17+M59</f>
        <v>31419.1066666667</v>
      </c>
      <c r="N61" s="31" t="n">
        <f aca="false">N17+N59</f>
        <v>26769.3433333333</v>
      </c>
    </row>
    <row r="62" customFormat="false" ht="15" hidden="false" customHeight="false" outlineLevel="0" collapsed="false">
      <c r="A62" s="8" t="s">
        <v>304</v>
      </c>
      <c r="B62" s="31" t="n">
        <f aca="false">B9</f>
        <v>25637.38</v>
      </c>
      <c r="C62" s="31" t="n">
        <f aca="false">C9</f>
        <v>27081.19</v>
      </c>
      <c r="D62" s="31" t="n">
        <f aca="false">D9</f>
        <v>63061.87</v>
      </c>
      <c r="E62" s="31" t="n">
        <f aca="false">E9</f>
        <v>50339.13</v>
      </c>
      <c r="F62" s="31" t="n">
        <f aca="false">F9</f>
        <v>27082.05</v>
      </c>
      <c r="G62" s="31" t="n">
        <f aca="false">G9</f>
        <v>25881.6</v>
      </c>
      <c r="H62" s="31" t="n">
        <f aca="false">H9</f>
        <v>27427.38</v>
      </c>
      <c r="I62" s="31" t="n">
        <f aca="false">I9</f>
        <v>25986.74</v>
      </c>
      <c r="J62" s="31" t="n">
        <f aca="false">J9</f>
        <v>27979.39</v>
      </c>
      <c r="K62" s="31" t="n">
        <f aca="false">K9</f>
        <v>2362.27</v>
      </c>
      <c r="L62" s="31" t="n">
        <f aca="false">L9</f>
        <v>300476.73</v>
      </c>
      <c r="M62" s="31" t="n">
        <f aca="false">M9</f>
        <v>33386.3033333333</v>
      </c>
      <c r="N62" s="31" t="n">
        <f aca="false">N9</f>
        <v>27131.17</v>
      </c>
    </row>
    <row r="63" customFormat="false" ht="15" hidden="false" customHeight="false" outlineLevel="0" collapsed="false">
      <c r="A63" s="8" t="s">
        <v>305</v>
      </c>
      <c r="B63" s="9" t="n">
        <f aca="false">B62-B61</f>
        <v>953.329999999998</v>
      </c>
      <c r="C63" s="9" t="n">
        <f aca="false">C62-C61</f>
        <v>-638.68</v>
      </c>
      <c r="D63" s="9" t="n">
        <f aca="false">D62-D61</f>
        <v>6622.48</v>
      </c>
      <c r="E63" s="9" t="n">
        <f aca="false">E62-E61</f>
        <v>27431.35</v>
      </c>
      <c r="F63" s="9" t="n">
        <f aca="false">F62-F61</f>
        <v>-17391.89</v>
      </c>
      <c r="G63" s="9" t="n">
        <f aca="false">G62-G61</f>
        <v>-357.300000000003</v>
      </c>
      <c r="H63" s="9" t="n">
        <f aca="false">H62-H61</f>
        <v>-4624.36</v>
      </c>
      <c r="I63" s="9" t="n">
        <f aca="false">I62-I61</f>
        <v>3082.22</v>
      </c>
      <c r="J63" s="9" t="n">
        <f aca="false">J62-J61</f>
        <v>2627.62</v>
      </c>
      <c r="K63" s="9" t="n">
        <f aca="false">K62-K61</f>
        <v>-11961.28</v>
      </c>
      <c r="L63" s="9" t="n">
        <f aca="false">L62-L61</f>
        <v>17704.7700000001</v>
      </c>
      <c r="M63" s="9" t="n">
        <f aca="false">M62-M61</f>
        <v>1967.19666666667</v>
      </c>
      <c r="N63" s="9" t="n">
        <f aca="false">N62-N61</f>
        <v>361.826666666664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306</v>
      </c>
    </row>
    <row r="2" customFormat="false" ht="15" hidden="false" customHeight="false" outlineLevel="0" collapsed="false">
      <c r="A2" s="2" t="s">
        <v>307</v>
      </c>
    </row>
    <row r="4" customFormat="false" ht="27.75" hidden="false" customHeight="true" outlineLevel="0" collapsed="false">
      <c r="A4" s="10" t="s">
        <v>308</v>
      </c>
      <c r="B4" s="10" t="s">
        <v>309</v>
      </c>
      <c r="C4" s="10" t="s">
        <v>310</v>
      </c>
      <c r="D4" s="10" t="s">
        <v>311</v>
      </c>
      <c r="E4" s="10" t="s">
        <v>312</v>
      </c>
      <c r="F4" s="10" t="s">
        <v>313</v>
      </c>
      <c r="G4" s="10" t="s">
        <v>314</v>
      </c>
      <c r="H4" s="10" t="s">
        <v>20</v>
      </c>
    </row>
    <row r="5" customFormat="false" ht="15" hidden="false" customHeight="false" outlineLevel="0" collapsed="false">
      <c r="A5" s="5" t="s">
        <v>315</v>
      </c>
      <c r="B5" s="5" t="s">
        <v>316</v>
      </c>
      <c r="C5" s="6" t="n">
        <v>72.97</v>
      </c>
      <c r="D5" s="12" t="n">
        <f aca="false">IF(B5="Monthly",C5*12,IF(B5="Semiannual",C5*2,C5))</f>
        <v>875.64</v>
      </c>
      <c r="E5" s="32" t="s">
        <v>317</v>
      </c>
      <c r="F5" s="12" t="n">
        <f aca="false">IF(E5="Cut",D5,0)</f>
        <v>0</v>
      </c>
      <c r="G5" s="5" t="s">
        <v>318</v>
      </c>
      <c r="H5" s="2" t="s">
        <v>319</v>
      </c>
    </row>
    <row r="6" customFormat="false" ht="15" hidden="false" customHeight="false" outlineLevel="0" collapsed="false">
      <c r="A6" s="5" t="s">
        <v>320</v>
      </c>
      <c r="B6" s="5" t="s">
        <v>316</v>
      </c>
      <c r="C6" s="6" t="n">
        <v>82.99</v>
      </c>
      <c r="D6" s="12" t="n">
        <f aca="false">IF(B6="Monthly",C6*12,IF(B6="Semiannual",C6*2,C6))</f>
        <v>995.88</v>
      </c>
      <c r="E6" s="32" t="s">
        <v>321</v>
      </c>
      <c r="F6" s="12" t="n">
        <f aca="false">IF(E6="Cut",D6,0)</f>
        <v>0</v>
      </c>
      <c r="G6" s="5" t="s">
        <v>322</v>
      </c>
      <c r="H6" s="2" t="s">
        <v>323</v>
      </c>
    </row>
    <row r="7" customFormat="false" ht="15" hidden="false" customHeight="false" outlineLevel="0" collapsed="false">
      <c r="A7" s="5" t="s">
        <v>324</v>
      </c>
      <c r="B7" s="5" t="s">
        <v>316</v>
      </c>
      <c r="C7" s="6" t="n">
        <v>26.99</v>
      </c>
      <c r="D7" s="12" t="n">
        <f aca="false">IF(B7="Monthly",C7*12,IF(B7="Semiannual",C7*2,C7))</f>
        <v>323.88</v>
      </c>
      <c r="E7" s="32" t="s">
        <v>317</v>
      </c>
      <c r="F7" s="12" t="n">
        <f aca="false">IF(E7="Cut",D7,0)</f>
        <v>0</v>
      </c>
      <c r="G7" s="5" t="s">
        <v>325</v>
      </c>
      <c r="H7" s="2"/>
    </row>
    <row r="8" customFormat="false" ht="15" hidden="false" customHeight="false" outlineLevel="0" collapsed="false">
      <c r="A8" s="5" t="s">
        <v>326</v>
      </c>
      <c r="B8" s="5" t="s">
        <v>316</v>
      </c>
      <c r="C8" s="6" t="n">
        <v>18.99</v>
      </c>
      <c r="D8" s="12" t="n">
        <f aca="false">IF(B8="Monthly",C8*12,IF(B8="Semiannual",C8*2,C8))</f>
        <v>227.88</v>
      </c>
      <c r="E8" s="32" t="s">
        <v>321</v>
      </c>
      <c r="F8" s="12" t="n">
        <f aca="false">IF(E8="Cut",D8,0)</f>
        <v>0</v>
      </c>
      <c r="G8" s="5" t="s">
        <v>327</v>
      </c>
      <c r="H8" s="2" t="s">
        <v>328</v>
      </c>
    </row>
    <row r="9" customFormat="false" ht="15" hidden="false" customHeight="false" outlineLevel="0" collapsed="false">
      <c r="A9" s="5" t="s">
        <v>329</v>
      </c>
      <c r="B9" s="5" t="s">
        <v>316</v>
      </c>
      <c r="C9" s="6" t="n">
        <v>12.99</v>
      </c>
      <c r="D9" s="12" t="n">
        <f aca="false">IF(B9="Monthly",C9*12,IF(B9="Semiannual",C9*2,C9))</f>
        <v>155.88</v>
      </c>
      <c r="E9" s="32" t="s">
        <v>317</v>
      </c>
      <c r="F9" s="12" t="n">
        <f aca="false">IF(E9="Cut",D9,0)</f>
        <v>0</v>
      </c>
      <c r="G9" s="5" t="s">
        <v>330</v>
      </c>
      <c r="H9" s="2"/>
    </row>
    <row r="10" customFormat="false" ht="15" hidden="false" customHeight="false" outlineLevel="0" collapsed="false">
      <c r="A10" s="5" t="s">
        <v>331</v>
      </c>
      <c r="B10" s="5" t="s">
        <v>332</v>
      </c>
      <c r="C10" s="6" t="n">
        <v>139</v>
      </c>
      <c r="D10" s="12" t="n">
        <f aca="false">IF(B10="Monthly",C10*12,IF(B10="Semiannual",C10*2,C10))</f>
        <v>139</v>
      </c>
      <c r="E10" s="32" t="s">
        <v>317</v>
      </c>
      <c r="F10" s="12" t="n">
        <f aca="false">IF(E10="Cut",D10,0)</f>
        <v>0</v>
      </c>
      <c r="G10" s="5" t="s">
        <v>333</v>
      </c>
      <c r="H10" s="2" t="s">
        <v>334</v>
      </c>
    </row>
    <row r="11" customFormat="false" ht="15" hidden="false" customHeight="false" outlineLevel="0" collapsed="false">
      <c r="A11" s="5" t="s">
        <v>335</v>
      </c>
      <c r="B11" s="5" t="s">
        <v>316</v>
      </c>
      <c r="C11" s="6" t="n">
        <v>4.99</v>
      </c>
      <c r="D11" s="12" t="n">
        <f aca="false">IF(B11="Monthly",C11*12,IF(B11="Semiannual",C11*2,C11))</f>
        <v>59.88</v>
      </c>
      <c r="E11" s="32" t="s">
        <v>321</v>
      </c>
      <c r="F11" s="12" t="n">
        <f aca="false">IF(E11="Cut",D11,0)</f>
        <v>0</v>
      </c>
      <c r="G11" s="5" t="s">
        <v>336</v>
      </c>
      <c r="H11" s="2" t="s">
        <v>337</v>
      </c>
    </row>
    <row r="12" customFormat="false" ht="15" hidden="false" customHeight="false" outlineLevel="0" collapsed="false">
      <c r="A12" s="5" t="s">
        <v>338</v>
      </c>
      <c r="B12" s="5" t="s">
        <v>316</v>
      </c>
      <c r="C12" s="6" t="n">
        <v>6.36</v>
      </c>
      <c r="D12" s="12" t="n">
        <f aca="false">IF(B12="Monthly",C12*12,IF(B12="Semiannual",C12*2,C12))</f>
        <v>76.32</v>
      </c>
      <c r="E12" s="32" t="s">
        <v>321</v>
      </c>
      <c r="F12" s="12" t="n">
        <f aca="false">IF(E12="Cut",D12,0)</f>
        <v>0</v>
      </c>
      <c r="G12" s="5" t="s">
        <v>336</v>
      </c>
      <c r="H12" s="2" t="s">
        <v>339</v>
      </c>
    </row>
    <row r="13" customFormat="false" ht="15" hidden="false" customHeight="false" outlineLevel="0" collapsed="false">
      <c r="A13" s="5" t="s">
        <v>340</v>
      </c>
      <c r="B13" s="5" t="s">
        <v>316</v>
      </c>
      <c r="C13" s="6" t="n">
        <v>11.99</v>
      </c>
      <c r="D13" s="12" t="n">
        <f aca="false">IF(B13="Monthly",C13*12,IF(B13="Semiannual",C13*2,C13))</f>
        <v>143.88</v>
      </c>
      <c r="E13" s="32" t="s">
        <v>321</v>
      </c>
      <c r="F13" s="12" t="n">
        <f aca="false">IF(E13="Cut",D13,0)</f>
        <v>0</v>
      </c>
      <c r="G13" s="5" t="s">
        <v>341</v>
      </c>
      <c r="H13" s="2" t="s">
        <v>342</v>
      </c>
    </row>
    <row r="14" customFormat="false" ht="15" hidden="false" customHeight="false" outlineLevel="0" collapsed="false">
      <c r="A14" s="5" t="s">
        <v>343</v>
      </c>
      <c r="B14" s="5" t="s">
        <v>316</v>
      </c>
      <c r="C14" s="6" t="n">
        <v>8.99</v>
      </c>
      <c r="D14" s="12" t="n">
        <f aca="false">IF(B14="Monthly",C14*12,IF(B14="Semiannual",C14*2,C14))</f>
        <v>107.88</v>
      </c>
      <c r="E14" s="32" t="s">
        <v>321</v>
      </c>
      <c r="F14" s="12" t="n">
        <f aca="false">IF(E14="Cut",D14,0)</f>
        <v>0</v>
      </c>
      <c r="G14" s="5" t="s">
        <v>344</v>
      </c>
      <c r="H14" s="2" t="s">
        <v>345</v>
      </c>
    </row>
    <row r="15" customFormat="false" ht="15" hidden="false" customHeight="false" outlineLevel="0" collapsed="false">
      <c r="A15" s="5" t="s">
        <v>346</v>
      </c>
      <c r="B15" s="5" t="s">
        <v>316</v>
      </c>
      <c r="C15" s="6" t="n">
        <v>25</v>
      </c>
      <c r="D15" s="12" t="n">
        <f aca="false">IF(B15="Monthly",C15*12,IF(B15="Semiannual",C15*2,C15))</f>
        <v>300</v>
      </c>
      <c r="E15" s="32" t="s">
        <v>321</v>
      </c>
      <c r="F15" s="12" t="n">
        <f aca="false">IF(E15="Cut",D15,0)</f>
        <v>0</v>
      </c>
      <c r="G15" s="5" t="s">
        <v>318</v>
      </c>
      <c r="H15" s="2" t="s">
        <v>347</v>
      </c>
    </row>
    <row r="16" customFormat="false" ht="15" hidden="false" customHeight="false" outlineLevel="0" collapsed="false">
      <c r="A16" s="5" t="s">
        <v>348</v>
      </c>
      <c r="B16" s="5" t="s">
        <v>316</v>
      </c>
      <c r="C16" s="6" t="n">
        <v>27.72</v>
      </c>
      <c r="D16" s="12" t="n">
        <f aca="false">IF(B16="Monthly",C16*12,IF(B16="Semiannual",C16*2,C16))</f>
        <v>332.64</v>
      </c>
      <c r="E16" s="32" t="s">
        <v>321</v>
      </c>
      <c r="F16" s="12" t="n">
        <f aca="false">IF(E16="Cut",D16,0)</f>
        <v>0</v>
      </c>
      <c r="G16" s="5" t="s">
        <v>336</v>
      </c>
      <c r="H16" s="2" t="s">
        <v>349</v>
      </c>
    </row>
    <row r="17" customFormat="false" ht="15" hidden="false" customHeight="false" outlineLevel="0" collapsed="false">
      <c r="A17" s="5" t="s">
        <v>350</v>
      </c>
      <c r="B17" s="5" t="s">
        <v>332</v>
      </c>
      <c r="C17" s="6" t="n">
        <v>99.99</v>
      </c>
      <c r="D17" s="12" t="n">
        <f aca="false">IF(B17="Monthly",C17*12,IF(B17="Semiannual",C17*2,C17))</f>
        <v>99.99</v>
      </c>
      <c r="E17" s="32" t="s">
        <v>321</v>
      </c>
      <c r="F17" s="12" t="n">
        <f aca="false">IF(E17="Cut",D17,0)</f>
        <v>0</v>
      </c>
      <c r="G17" s="5" t="s">
        <v>351</v>
      </c>
      <c r="H17" s="2"/>
    </row>
    <row r="18" customFormat="false" ht="15" hidden="false" customHeight="false" outlineLevel="0" collapsed="false">
      <c r="A18" s="5" t="s">
        <v>352</v>
      </c>
      <c r="B18" s="5" t="s">
        <v>332</v>
      </c>
      <c r="C18" s="6" t="n">
        <v>150</v>
      </c>
      <c r="D18" s="12" t="n">
        <f aca="false">IF(B18="Monthly",C18*12,IF(B18="Semiannual",C18*2,C18))</f>
        <v>150</v>
      </c>
      <c r="E18" s="32" t="s">
        <v>321</v>
      </c>
      <c r="F18" s="12" t="n">
        <f aca="false">IF(E18="Cut",D18,0)</f>
        <v>0</v>
      </c>
      <c r="G18" s="5" t="s">
        <v>353</v>
      </c>
      <c r="H18" s="2"/>
    </row>
    <row r="19" customFormat="false" ht="15" hidden="false" customHeight="false" outlineLevel="0" collapsed="false">
      <c r="A19" s="5" t="s">
        <v>354</v>
      </c>
      <c r="B19" s="5" t="s">
        <v>316</v>
      </c>
      <c r="C19" s="6" t="n">
        <v>20.7</v>
      </c>
      <c r="D19" s="12" t="n">
        <f aca="false">IF(B19="Monthly",C19*12,IF(B19="Semiannual",C19*2,C19))</f>
        <v>248.4</v>
      </c>
      <c r="E19" s="32" t="s">
        <v>317</v>
      </c>
      <c r="F19" s="12" t="n">
        <f aca="false">IF(E19="Cut",D19,0)</f>
        <v>0</v>
      </c>
      <c r="G19" s="5" t="s">
        <v>341</v>
      </c>
      <c r="H19" s="2" t="s">
        <v>355</v>
      </c>
    </row>
    <row r="20" customFormat="false" ht="15" hidden="false" customHeight="false" outlineLevel="0" collapsed="false">
      <c r="A20" s="5" t="s">
        <v>356</v>
      </c>
      <c r="B20" s="5" t="s">
        <v>316</v>
      </c>
      <c r="C20" s="6" t="n">
        <v>10</v>
      </c>
      <c r="D20" s="12" t="n">
        <f aca="false">IF(B20="Monthly",C20*12,IF(B20="Semiannual",C20*2,C20))</f>
        <v>120</v>
      </c>
      <c r="E20" s="32" t="s">
        <v>317</v>
      </c>
      <c r="F20" s="12" t="n">
        <f aca="false">IF(E20="Cut",D20,0)</f>
        <v>0</v>
      </c>
      <c r="G20" s="5" t="s">
        <v>344</v>
      </c>
      <c r="H20" s="2" t="s">
        <v>357</v>
      </c>
    </row>
    <row r="21" customFormat="false" ht="15" hidden="false" customHeight="false" outlineLevel="0" collapsed="false">
      <c r="A21" s="5" t="s">
        <v>358</v>
      </c>
      <c r="B21" s="5" t="s">
        <v>316</v>
      </c>
      <c r="C21" s="6" t="n">
        <v>32.99</v>
      </c>
      <c r="D21" s="12" t="n">
        <f aca="false">IF(B21="Monthly",C21*12,IF(B21="Semiannual",C21*2,C21))</f>
        <v>395.88</v>
      </c>
      <c r="E21" s="32" t="s">
        <v>321</v>
      </c>
      <c r="F21" s="12" t="n">
        <f aca="false">IF(E21="Cut",D21,0)</f>
        <v>0</v>
      </c>
      <c r="G21" s="5" t="s">
        <v>359</v>
      </c>
      <c r="H21" s="2" t="s">
        <v>360</v>
      </c>
    </row>
    <row r="22" customFormat="false" ht="15" hidden="false" customHeight="false" outlineLevel="0" collapsed="false">
      <c r="A22" s="5" t="s">
        <v>361</v>
      </c>
      <c r="B22" s="5" t="s">
        <v>316</v>
      </c>
      <c r="C22" s="6" t="n">
        <v>13.94</v>
      </c>
      <c r="D22" s="12" t="n">
        <f aca="false">IF(B22="Monthly",C22*12,IF(B22="Semiannual",C22*2,C22))</f>
        <v>167.28</v>
      </c>
      <c r="E22" s="32" t="s">
        <v>321</v>
      </c>
      <c r="F22" s="12" t="n">
        <f aca="false">IF(E22="Cut",D22,0)</f>
        <v>0</v>
      </c>
      <c r="G22" s="5" t="s">
        <v>362</v>
      </c>
      <c r="H22" s="2" t="s">
        <v>363</v>
      </c>
    </row>
    <row r="23" customFormat="false" ht="15" hidden="false" customHeight="false" outlineLevel="0" collapsed="false">
      <c r="A23" s="5" t="s">
        <v>364</v>
      </c>
      <c r="B23" s="5" t="s">
        <v>316</v>
      </c>
      <c r="C23" s="6" t="n">
        <v>20.76</v>
      </c>
      <c r="D23" s="12" t="n">
        <f aca="false">IF(B23="Monthly",C23*12,IF(B23="Semiannual",C23*2,C23))</f>
        <v>249.12</v>
      </c>
      <c r="E23" s="32" t="s">
        <v>321</v>
      </c>
      <c r="F23" s="12" t="n">
        <f aca="false">IF(E23="Cut",D23,0)</f>
        <v>0</v>
      </c>
      <c r="G23" s="5" t="s">
        <v>365</v>
      </c>
      <c r="H23" s="2" t="s">
        <v>366</v>
      </c>
    </row>
    <row r="24" customFormat="false" ht="15" hidden="false" customHeight="false" outlineLevel="0" collapsed="false">
      <c r="A24" s="5" t="s">
        <v>367</v>
      </c>
      <c r="B24" s="5" t="s">
        <v>316</v>
      </c>
      <c r="C24" s="6" t="n">
        <v>10.63</v>
      </c>
      <c r="D24" s="12" t="n">
        <f aca="false">IF(B24="Monthly",C24*12,IF(B24="Semiannual",C24*2,C24))</f>
        <v>127.56</v>
      </c>
      <c r="E24" s="32" t="s">
        <v>317</v>
      </c>
      <c r="F24" s="12" t="n">
        <f aca="false">IF(E24="Cut",D24,0)</f>
        <v>0</v>
      </c>
      <c r="G24" s="5" t="s">
        <v>368</v>
      </c>
      <c r="H24" s="2"/>
    </row>
    <row r="25" customFormat="false" ht="15" hidden="false" customHeight="false" outlineLevel="0" collapsed="false">
      <c r="A25" s="5" t="s">
        <v>369</v>
      </c>
      <c r="B25" s="5" t="s">
        <v>316</v>
      </c>
      <c r="C25" s="6" t="n">
        <v>21.25</v>
      </c>
      <c r="D25" s="12" t="n">
        <f aca="false">IF(B25="Monthly",C25*12,IF(B25="Semiannual",C25*2,C25))</f>
        <v>255</v>
      </c>
      <c r="E25" s="32" t="s">
        <v>317</v>
      </c>
      <c r="F25" s="12" t="n">
        <f aca="false">IF(E25="Cut",D25,0)</f>
        <v>0</v>
      </c>
      <c r="G25" s="5" t="s">
        <v>362</v>
      </c>
      <c r="H25" s="2"/>
    </row>
    <row r="26" customFormat="false" ht="15" hidden="false" customHeight="false" outlineLevel="0" collapsed="false">
      <c r="A26" s="5" t="s">
        <v>370</v>
      </c>
      <c r="B26" s="5" t="s">
        <v>332</v>
      </c>
      <c r="C26" s="6" t="n">
        <v>381.44</v>
      </c>
      <c r="D26" s="12" t="n">
        <f aca="false">IF(B26="Monthly",C26*12,IF(B26="Semiannual",C26*2,C26))</f>
        <v>381.44</v>
      </c>
      <c r="E26" s="32" t="s">
        <v>317</v>
      </c>
      <c r="F26" s="12" t="n">
        <f aca="false">IF(E26="Cut",D26,0)</f>
        <v>0</v>
      </c>
      <c r="G26" s="5" t="s">
        <v>371</v>
      </c>
      <c r="H26" s="2" t="s">
        <v>372</v>
      </c>
    </row>
    <row r="27" customFormat="false" ht="15" hidden="false" customHeight="false" outlineLevel="0" collapsed="false">
      <c r="A27" s="5" t="s">
        <v>373</v>
      </c>
      <c r="B27" s="5" t="s">
        <v>332</v>
      </c>
      <c r="C27" s="6" t="n">
        <v>212.49</v>
      </c>
      <c r="D27" s="12" t="n">
        <f aca="false">IF(B27="Monthly",C27*12,IF(B27="Semiannual",C27*2,C27))</f>
        <v>212.49</v>
      </c>
      <c r="E27" s="32" t="s">
        <v>321</v>
      </c>
      <c r="F27" s="12" t="n">
        <f aca="false">IF(E27="Cut",D27,0)</f>
        <v>0</v>
      </c>
      <c r="G27" s="5" t="s">
        <v>374</v>
      </c>
      <c r="H27" s="2" t="s">
        <v>375</v>
      </c>
    </row>
    <row r="28" customFormat="false" ht="15" hidden="false" customHeight="false" outlineLevel="0" collapsed="false">
      <c r="A28" s="5" t="s">
        <v>376</v>
      </c>
      <c r="B28" s="5" t="s">
        <v>377</v>
      </c>
      <c r="C28" s="6" t="n">
        <v>114.75</v>
      </c>
      <c r="D28" s="12" t="n">
        <f aca="false">IF(B28="Monthly",C28*12,IF(B28="Semiannual",C28*2,C28))</f>
        <v>229.5</v>
      </c>
      <c r="E28" s="32" t="s">
        <v>321</v>
      </c>
      <c r="F28" s="12" t="n">
        <f aca="false">IF(E28="Cut",D28,0)</f>
        <v>0</v>
      </c>
      <c r="G28" s="5" t="s">
        <v>378</v>
      </c>
      <c r="H28" s="2" t="s">
        <v>379</v>
      </c>
    </row>
    <row r="29" customFormat="false" ht="15" hidden="false" customHeight="false" outlineLevel="0" collapsed="false">
      <c r="A29" s="5" t="s">
        <v>380</v>
      </c>
      <c r="B29" s="5" t="s">
        <v>332</v>
      </c>
      <c r="C29" s="6" t="n">
        <v>548</v>
      </c>
      <c r="D29" s="12" t="n">
        <f aca="false">IF(B29="Monthly",C29*12,IF(B29="Semiannual",C29*2,C29))</f>
        <v>548</v>
      </c>
      <c r="E29" s="32" t="s">
        <v>317</v>
      </c>
      <c r="F29" s="12" t="n">
        <f aca="false">IF(E29="Cut",D29,0)</f>
        <v>0</v>
      </c>
      <c r="G29" s="5" t="s">
        <v>381</v>
      </c>
      <c r="H29" s="2" t="s">
        <v>382</v>
      </c>
    </row>
    <row r="30" customFormat="false" ht="15" hidden="false" customHeight="false" outlineLevel="0" collapsed="false">
      <c r="A30" s="5" t="s">
        <v>383</v>
      </c>
      <c r="B30" s="5" t="s">
        <v>316</v>
      </c>
      <c r="C30" s="6" t="n">
        <v>32.95</v>
      </c>
      <c r="D30" s="12" t="n">
        <f aca="false">IF(B30="Monthly",C30*12,IF(B30="Semiannual",C30*2,C30))</f>
        <v>395.4</v>
      </c>
      <c r="E30" s="32" t="s">
        <v>321</v>
      </c>
      <c r="F30" s="12" t="n">
        <f aca="false">IF(E30="Cut",D30,0)</f>
        <v>0</v>
      </c>
      <c r="G30" s="5" t="s">
        <v>384</v>
      </c>
      <c r="H30" s="2" t="s">
        <v>385</v>
      </c>
    </row>
    <row r="31" customFormat="false" ht="15" hidden="false" customHeight="false" outlineLevel="0" collapsed="false">
      <c r="A31" s="5" t="s">
        <v>386</v>
      </c>
      <c r="B31" s="5" t="s">
        <v>316</v>
      </c>
      <c r="C31" s="6" t="n">
        <v>115.23</v>
      </c>
      <c r="D31" s="12" t="n">
        <f aca="false">IF(B31="Monthly",C31*12,IF(B31="Semiannual",C31*2,C31))</f>
        <v>1382.76</v>
      </c>
      <c r="E31" s="32" t="s">
        <v>321</v>
      </c>
      <c r="F31" s="12" t="n">
        <f aca="false">IF(E31="Cut",D31,0)</f>
        <v>0</v>
      </c>
      <c r="G31" s="5" t="s">
        <v>336</v>
      </c>
      <c r="H31" s="2" t="s">
        <v>387</v>
      </c>
    </row>
    <row r="32" customFormat="false" ht="15" hidden="false" customHeight="false" outlineLevel="0" collapsed="false">
      <c r="A32" s="5" t="s">
        <v>388</v>
      </c>
      <c r="B32" s="5" t="s">
        <v>316</v>
      </c>
      <c r="C32" s="6" t="n">
        <v>25</v>
      </c>
      <c r="D32" s="12" t="n">
        <f aca="false">IF(B32="Monthly",C32*12,IF(B32="Semiannual",C32*2,C32))</f>
        <v>300</v>
      </c>
      <c r="E32" s="32" t="s">
        <v>317</v>
      </c>
      <c r="F32" s="12" t="n">
        <f aca="false">IF(E32="Cut",D32,0)</f>
        <v>0</v>
      </c>
      <c r="G32" s="5" t="s">
        <v>389</v>
      </c>
      <c r="H32" s="2" t="s">
        <v>390</v>
      </c>
    </row>
    <row r="33" customFormat="false" ht="15" hidden="false" customHeight="false" outlineLevel="0" collapsed="false">
      <c r="A33" s="15" t="s">
        <v>391</v>
      </c>
      <c r="D33" s="17" t="n">
        <f aca="false">SUM(D5:D32)</f>
        <v>9001.58</v>
      </c>
      <c r="F33" s="17" t="n">
        <f aca="false">SUM(F5:F32)</f>
        <v>0</v>
      </c>
    </row>
    <row r="34" customFormat="false" ht="15" hidden="false" customHeight="false" outlineLevel="0" collapsed="false">
      <c r="A34" s="2" t="s">
        <v>392</v>
      </c>
      <c r="D34" s="12" t="n">
        <f aca="false">SUMIF(E5:E32,"Review",D5:D32)</f>
        <v>5526.78</v>
      </c>
    </row>
    <row r="36" customFormat="false" ht="15" hidden="false" customHeight="false" outlineLevel="0" collapsed="false">
      <c r="A36" s="2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394</v>
      </c>
    </row>
    <row r="3" customFormat="false" ht="15" hidden="false" customHeight="false" outlineLevel="0" collapsed="false">
      <c r="A3" s="33" t="s">
        <v>395</v>
      </c>
      <c r="B3" s="34" t="s">
        <v>396</v>
      </c>
    </row>
    <row r="4" customFormat="false" ht="23.85" hidden="false" customHeight="false" outlineLevel="0" collapsed="false">
      <c r="A4" s="33" t="s">
        <v>397</v>
      </c>
      <c r="B4" s="34" t="s">
        <v>398</v>
      </c>
    </row>
    <row r="5" customFormat="false" ht="15" hidden="false" customHeight="false" outlineLevel="0" collapsed="false">
      <c r="A5" s="33" t="s">
        <v>399</v>
      </c>
      <c r="B5" s="34" t="s">
        <v>400</v>
      </c>
    </row>
    <row r="6" customFormat="false" ht="23.85" hidden="false" customHeight="false" outlineLevel="0" collapsed="false">
      <c r="A6" s="33" t="s">
        <v>401</v>
      </c>
      <c r="B6" s="34" t="s">
        <v>402</v>
      </c>
    </row>
    <row r="7" customFormat="false" ht="35.05" hidden="false" customHeight="false" outlineLevel="0" collapsed="false">
      <c r="A7" s="33" t="s">
        <v>403</v>
      </c>
      <c r="B7" s="34" t="s">
        <v>404</v>
      </c>
    </row>
    <row r="8" customFormat="false" ht="23.85" hidden="false" customHeight="false" outlineLevel="0" collapsed="false">
      <c r="A8" s="33" t="s">
        <v>405</v>
      </c>
      <c r="B8" s="34" t="s">
        <v>406</v>
      </c>
    </row>
    <row r="9" customFormat="false" ht="15" hidden="false" customHeight="false" outlineLevel="0" collapsed="false">
      <c r="A9" s="33" t="s">
        <v>407</v>
      </c>
      <c r="B9" s="34" t="s">
        <v>408</v>
      </c>
    </row>
    <row r="10" customFormat="false" ht="23.85" hidden="false" customHeight="false" outlineLevel="0" collapsed="false">
      <c r="A10" s="33" t="s">
        <v>409</v>
      </c>
      <c r="B10" s="34" t="s">
        <v>410</v>
      </c>
    </row>
    <row r="11" customFormat="false" ht="15" hidden="false" customHeight="false" outlineLevel="0" collapsed="false">
      <c r="A11" s="33" t="s">
        <v>411</v>
      </c>
      <c r="B11" s="34" t="s">
        <v>412</v>
      </c>
    </row>
    <row r="12" customFormat="false" ht="15" hidden="false" customHeight="false" outlineLevel="0" collapsed="false">
      <c r="A12" s="33" t="s">
        <v>413</v>
      </c>
      <c r="B12" s="34" t="s">
        <v>414</v>
      </c>
    </row>
    <row r="14" customFormat="false" ht="15" hidden="false" customHeight="false" outlineLevel="0" collapsed="false">
      <c r="A14" s="8" t="s">
        <v>415</v>
      </c>
    </row>
    <row r="15" customFormat="false" ht="15" hidden="false" customHeight="false" outlineLevel="0" collapsed="false">
      <c r="A15" s="5" t="s">
        <v>416</v>
      </c>
      <c r="B15" s="34" t="s">
        <v>417</v>
      </c>
    </row>
    <row r="16" customFormat="false" ht="35.05" hidden="false" customHeight="false" outlineLevel="0" collapsed="false">
      <c r="A16" s="5" t="s">
        <v>416</v>
      </c>
      <c r="B16" s="34" t="s">
        <v>418</v>
      </c>
    </row>
    <row r="17" customFormat="false" ht="15" hidden="false" customHeight="false" outlineLevel="0" collapsed="false">
      <c r="A17" s="5" t="s">
        <v>416</v>
      </c>
      <c r="B17" s="34" t="s">
        <v>419</v>
      </c>
    </row>
    <row r="18" customFormat="false" ht="15" hidden="false" customHeight="false" outlineLevel="0" collapsed="false">
      <c r="A18" s="5" t="s">
        <v>416</v>
      </c>
      <c r="B18" s="34" t="s">
        <v>420</v>
      </c>
    </row>
    <row r="19" customFormat="false" ht="15" hidden="false" customHeight="false" outlineLevel="0" collapsed="false">
      <c r="A19" s="5" t="s">
        <v>416</v>
      </c>
      <c r="B19" s="34" t="s">
        <v>421</v>
      </c>
    </row>
    <row r="20" customFormat="false" ht="35.05" hidden="false" customHeight="false" outlineLevel="0" collapsed="false">
      <c r="A20" s="5" t="s">
        <v>416</v>
      </c>
      <c r="B20" s="34" t="s">
        <v>422</v>
      </c>
    </row>
    <row r="21" customFormat="false" ht="15" hidden="false" customHeight="false" outlineLevel="0" collapsed="false">
      <c r="A21" s="5" t="s">
        <v>416</v>
      </c>
      <c r="B21" s="34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2026-10-14T00:22:12Z</dcterms:created>
  <dc:creator>openpyxl</dc:creator>
  <dc:description/>
  <dc:language>en-US</dc:language>
  <cp:lastModifiedBy/>
  <dcterms:modified xsi:type="dcterms:W3CDTF">2026-10-14T00:22:12Z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