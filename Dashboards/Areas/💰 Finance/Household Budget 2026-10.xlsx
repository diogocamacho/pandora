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Debt &amp; EF Plan" sheetId="2" state="visible" r:id="rId4"/>
    <sheet name="Actuals" sheetId="3" state="visible" r:id="rId5"/>
    <sheet name="Subscriptions" sheetId="4" state="visible" r:id="rId6"/>
    <sheet name="Rules &amp; Legen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<sst xmlns="http://schemas.openxmlformats.org/spreadsheetml/2006/main" count="524" uniqueCount="373">
  <si>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</si>
  <si>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</si>
  <si>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</si>
  <si>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</si>
  <si>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</si>
  <si>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</si>
  <si>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</si>
  <si>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</si>
  <si>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</si>
  <si>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</si>
  <si>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</si>
  <si>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</si>
  <si>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</si>
  <si>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</si>
  <si>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</si>
  <si>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</si>
  <si>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</si>
  <si>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</si>
  <si>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</si>
  <si>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</si>
  <si>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</si>
  <si>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</si>
  <si>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</si>
  <si>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</si>
  <si>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</si>
  <si>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</si>
  <si>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</si>
  <si>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</si>
  <si>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</si>
  <si>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</si>
  <si>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installment</t>
  </si>
  <si>
    <t xml:space="preserve">Fixed $341.99/mo all year. Confirm what it is and when it ends.</t>
  </si>
  <si>
    <t xml:space="preserve">Installment/promo/HELOC payments (Holyoke CU, Capital One, TD, OnePay/Sync)</t>
  </si>
  <si>
    <t xml:space="preserve">Holyoke CU ran $500–$1,400 (likely the HELOC at 3.5%, $500 min per your note). Hold it at the minimum while JetBlue is at 29.74%; Capital One $350 and TD ~$190 look like fixed plans. Verify balances/expiry.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</si>
  <si>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</si>
  <si>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</si>
  <si>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</si>
  <si>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</si>
  <si>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</si>
  <si>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</si>
  <si>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+ Petro AC loan</t>
  </si>
  <si>
    <t xml:space="preserve">Petro ran $614/mo Jan–Jun, then $1,856 (Jul), $949 (Aug/Sep). Your debt note shows a 0% Petro AC loan at $345/mo, so part of this line is debt, not fuel. Confirm plan vs. loan split.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</si>
  <si>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</si>
  <si>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</si>
  <si>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</si>
  <si>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</si>
  <si>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</si>
  <si>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</si>
  <si>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WGBH + E-ZPass (SiriusXM cancelled)</t>
  </si>
  <si>
    <t xml:space="preserve">SiriusXM $72.97/mo removed — see Subscriptions.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</si>
  <si>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</si>
  <si>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</si>
  <si>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</si>
  <si>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</si>
  <si>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</si>
  <si>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</si>
  <si>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</si>
  <si>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</si>
  <si>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</si>
  <si>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</si>
  <si>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Includes beach-week food in Jul/Aug.</t>
  </si>
  <si>
    <t xml:space="preserve">Delivery apps (DoorDash, Grubhub)</t>
  </si>
  <si>
    <t xml:space="preserve">Fees + tip premium. Use pickup or one planned delivery night/week.</t>
  </si>
  <si>
    <t xml:space="preserve">Household help (weekly $160 checks + Venmo)</t>
  </si>
  <si>
    <t xml:space="preserve">Weekly checks ($150–$160) + Venmo (~$120/mo). Unlabeled in the statements — confirm what these are.</t>
  </si>
  <si>
    <t xml:space="preserve">Cleaning/laundry (FreshNClean, Galicia)</t>
  </si>
  <si>
    <t xml:space="preserve">Fuel + auto upkeep (gas, Sudbury Automotive, tolls/parking, RMV)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</si>
  <si>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</si>
  <si>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</si>
  <si>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</si>
  <si>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</si>
  <si>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</si>
  <si>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</si>
  <si>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</si>
  <si>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</si>
  <si>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</si>
  <si>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</si>
  <si>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</si>
  <si>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</si>
  <si>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</si>
  <si>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</si>
  <si>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</si>
  <si>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</si>
  <si>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</si>
  <si>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</si>
  <si>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</si>
  <si>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</si>
  <si>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</si>
  <si>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</si>
  <si>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</si>
  <si>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</si>
  <si>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</si>
  <si>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</si>
  <si>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</si>
  <si>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</si>
  <si>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</si>
  <si>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</si>
  <si>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</si>
  <si>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</si>
  <si>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</si>
  <si>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</si>
  <si>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</si>
  <si>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</si>
  <si>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Travel &amp; experiences (trips, lodging, rentals)</t>
  </si>
  <si>
    <t xml:space="preserve">SPAXX/Lifestyle</t>
  </si>
  <si>
    <t xml:space="preserve">Q3 debit-only travel ≈ $200/mo; lodging/airfare is mostly invisible here (likely on cards). $500/mo = $6k/yr placeholder — calibrate with card statements.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</si>
  <si>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</si>
  <si>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</si>
  <si>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</si>
  <si>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</si>
  <si>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</si>
  <si>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</si>
  <si>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</si>
  <si>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</si>
  <si>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</si>
  <si>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</si>
  <si>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</si>
  <si>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</si>
  <si>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</si>
  <si>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</si>
  <si>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</si>
  <si>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</si>
  <si>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</si>
  <si>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</si>
  <si>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</si>
  <si>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</si>
  <si>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Needed /mo</t>
  </si>
  <si>
    <t xml:space="preserve">Diogo covers /mo (current split)</t>
  </si>
  <si>
    <t xml:space="preserve">Allison needs /week</t>
  </si>
  <si>
    <t xml:space="preserve">Allison current /week</t>
  </si>
  <si>
    <t xml:space="preserve">Change /week</t>
  </si>
  <si>
    <t xml:space="preserve">Diogo's per-paycheck split stays as is. Only Allison's weekly split changes. Her current split: $796.33 / $477.80 / $318.53.</t>
  </si>
  <si>
    <t xml:space="preserve">SPAXX (savings engine)</t>
  </si>
  <si>
    <t xml:space="preserve">Total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</si>
  <si>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</si>
  <si>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 (balances in that note are older).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</si>
  <si>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</si>
  <si>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</si>
  <si>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</si>
  <si>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</si>
  <si>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</si>
  <si>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</si>
  <si>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</si>
  <si>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</si>
  <si>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</si>
  <si>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</si>
  <si>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</si>
  <si>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</si>
  <si>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</si>
  <si>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</si>
  <si>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reaches $30k target</t>
  </si>
  <si>
    <t xml:space="preserve">Fidelity minimum rule: % of balance on top of interest</t>
  </si>
  <si>
    <t xml:space="preserve">Assumption (typical issuer formula) — not from a statement.</t>
  </si>
  <si>
    <t xml:space="preserve">EF reaches $40k stretch</t>
  </si>
  <si>
    <t xml:space="preserve">Emergency fund now (SPAXX + lifestyle)</t>
  </si>
  <si>
    <t xml:space="preserve">Config, 9/27/2026 (flagged CHECK as stale).</t>
  </si>
  <si>
    <t xml:space="preserve">Card interest paid from Nov-26 on</t>
  </si>
  <si>
    <t xml:space="preserve">EF target (config)</t>
  </si>
  <si>
    <t xml:space="preserve">Config: $30,000.</t>
  </si>
  <si>
    <t xml:space="preserve">Interest drag today (/mo, both cards)</t>
  </si>
  <si>
    <t xml:space="preserve">EF stretch target (career-transition ready)</t>
  </si>
  <si>
    <t xml:space="preserve">Your stated Mar-2027 SPAXX goal in memory.</t>
  </si>
  <si>
    <t xml:space="preserve">Not modeled: new card charges (the plan assumes zero), HELOC/promo balances, EF interest (~4% on SPAXX), Oct payments.</t>
  </si>
  <si>
    <t xml:space="preserve">Phase 1 ends after</t>
  </si>
  <si>
    <t xml:space="preserve">Patriots tickets paid in Feb.</t>
  </si>
  <si>
    <t xml:space="preserve">Bonus/extra lump (net) — scenario</t>
  </si>
  <si>
    <t xml:space="preserve">Base case $0. Mar 2026 net bonus deposit was ≈ $38.9k (3/19 deposits across 3 accounts) — NOT assumed.</t>
  </si>
  <si>
    <t xml:space="preserve">Bonus lump lands in month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</si>
  <si>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</si>
  <si>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</si>
  <si>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</si>
  <si>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</si>
  <si>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</si>
  <si>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</si>
  <si>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</si>
  <si>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</si>
  <si>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</si>
  <si>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</si>
  <si>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</si>
  <si>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</si>
  <si>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</si>
  <si>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begin</t>
  </si>
  <si>
    <t xml:space="preserve">EF contribution</t>
  </si>
  <si>
    <t xml:space="preserve">EF end</t>
  </si>
  <si>
    <t xml:space="preserve">JB cleared</t>
  </si>
  <si>
    <t xml:space="preserve">FI cleared</t>
  </si>
  <si>
    <t xml:space="preserve">Cards cleared</t>
  </si>
  <si>
    <t xml:space="preserve">EF ≥ target</t>
  </si>
  <si>
    <t xml:space="preserve">EF ≥ stretch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</si>
  <si>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</si>
  <si>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</si>
  <si>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</si>
  <si>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</si>
  <si>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</si>
  <si>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</si>
  <si>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</si>
  <si>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</si>
  <si>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</si>
  <si>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</si>
  <si>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</si>
  <si>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</si>
  <si>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</si>
  <si>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</si>
  <si>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</si>
  <si>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</si>
  <si>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</si>
  <si>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</si>
  <si>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</si>
  <si>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</si>
  <si>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</si>
  <si>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</si>
  <si>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</si>
  <si>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</si>
  <si>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</si>
  <si>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</si>
  <si>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</si>
  <si>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</si>
  <si>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</si>
  <si>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</si>
  <si>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</si>
  <si>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</si>
  <si>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</si>
  <si>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</si>
  <si>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</si>
  <si>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</si>
  <si>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</si>
  <si>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</si>
  <si>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</si>
  <si>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</si>
  <si>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</si>
  <si>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Groceries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</si>
  <si>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</si>
  <si>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</si>
  <si>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</si>
  <si>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</si>
  <si>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</si>
  <si>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</si>
  <si>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</si>
  <si>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</si>
  <si>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</si>
  <si>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</si>
  <si>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</si>
  <si>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</si>
  <si>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</si>
  <si>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</si>
  <si>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</si>
  <si>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</si>
  <si>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</si>
  <si>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</si>
  <si>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</si>
  <si>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</si>
  <si>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</si>
  <si>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</si>
  <si>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</si>
  <si>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</si>
  <si>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</si>
  <si>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</si>
  <si>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</si>
  <si>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</si>
  <si>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</si>
  <si>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</si>
  <si>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</si>
  <si>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</si>
  <si>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</si>
  <si>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</si>
  <si>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Cut</t>
  </si>
  <si>
    <t xml:space="preserve">2026-09-24</t>
  </si>
  <si>
    <t xml:space="preserve">Paid from Bills account. $876/yr.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</si>
  <si>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</si>
  <si>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</si>
  <si>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</si>
  <si>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</si>
  <si>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</si>
  <si>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Keep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</si>
  <si>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</si>
  <si>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</si>
  <si>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</si>
  <si>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</si>
  <si>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</si>
  <si>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</si>
  <si>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</si>
  <si>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</si>
  <si>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</si>
  <si>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</si>
  <si>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</si>
  <si>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</si>
  <si>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</si>
  <si>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</si>
  <si>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</si>
  <si>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</si>
  <si>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</si>
  <si>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</si>
  <si>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</si>
  <si>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</si>
  <si>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</si>
  <si>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</si>
  <si>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</si>
  <si>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</si>
  <si>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</si>
  <si>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</si>
  <si>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</si>
  <si>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</si>
  <si>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</si>
  <si>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</si>
  <si>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</si>
  <si>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</si>
  <si>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</si>
  <si>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</si>
  <si>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</si>
  <si>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</si>
  <si>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</si>
  <si>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</si>
  <si>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</si>
  <si>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</si>
  <si>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</si>
  <si>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</si>
  <si>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</si>
  <si>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</si>
  <si>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</si>
  <si>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</si>
  <si>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</si>
  <si>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</si>
  <si>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</si>
  <si>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</si>
  <si>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</si>
  <si>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</si>
  <si>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</si>
  <si>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</si>
  <si>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</si>
  <si>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</si>
  <si>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</si>
  <si>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</si>
  <si>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</si>
  <si>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</si>
  <si>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</si>
  <si>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</si>
  <si>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</si>
  <si>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</si>
  <si>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</si>
  <si>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</si>
  <si>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</si>
  <si>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</si>
  <si>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</si>
  <si>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</si>
  <si>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</si>
  <si>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</si>
  <si>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</si>
  <si>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</si>
  <si>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</si>
  <si>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Pull JetBlue/Fidelity (and store cards) out of wallets, Apple Pay, Amazon, DoorDash, Apple ID. Cards exist only to be paid down until cleared.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</si>
  <si>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</si>
  <si>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</si>
  <si>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</si>
  <si>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Do not overpay the 3.5% HELOC (Holyoke) or 0% loans while a 29.74%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</si>
  <si>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</si>
  <si>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</si>
  <si>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</si>
  <si>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Three numbers: groceries left, fun left (dining + delivery + entertainment), Amazon left. Compare against the monthly target ÷ 4.33.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</si>
  <si>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</si>
  <si>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delivery fees, overlapping subscriptions, and insurance/phone/oil shopping.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</si>
  <si>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</si>
  <si>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</si>
  <si>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</si>
  <si>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</si>
  <si>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</si>
  <si>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</si>
  <si>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</si>
  <si>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</si>
  <si>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</si>
  <si>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</si>
  <si>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</si>
  <si>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$150–$160 checks are unlabeled.</t>
  </si>
  <si>
    <t xml:space="preserve">Not financial, tax, or legal advice.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</si>
</sst>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1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22.3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1400</v>
      </c>
      <c r="E17" s="12" t="n">
        <v>1275</v>
      </c>
      <c r="F17" s="13" t="n">
        <v>1200</v>
      </c>
      <c r="G17" s="12" t="n">
        <f aca="false">F17-D17</f>
        <v>-200</v>
      </c>
      <c r="H17" s="14" t="s">
        <v>33</v>
      </c>
    </row>
    <row r="18" customFormat="false" ht="1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819</v>
      </c>
      <c r="E18" s="12" t="n">
        <v>844</v>
      </c>
      <c r="F18" s="13" t="n">
        <v>819</v>
      </c>
      <c r="G18" s="12" t="n">
        <f aca="false">F18-D18</f>
        <v>0</v>
      </c>
      <c r="H18" s="14" t="s">
        <v>35</v>
      </c>
    </row>
    <row r="19" customFormat="false" ht="1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287</v>
      </c>
      <c r="E19" s="12" t="n">
        <v>287</v>
      </c>
      <c r="F19" s="13" t="n">
        <v>287</v>
      </c>
      <c r="G19" s="12" t="n">
        <f aca="false">F19-D19</f>
        <v>0</v>
      </c>
      <c r="H19" s="14"/>
    </row>
    <row r="20" customFormat="false" ht="15" hidden="false" customHeight="false" outlineLevel="0" collapsed="false">
      <c r="A20" s="5" t="s">
        <v>37</v>
      </c>
      <c r="B20" s="5" t="s">
        <v>23</v>
      </c>
      <c r="C20" s="5" t="s">
        <v>38</v>
      </c>
      <c r="D20" s="12" t="n">
        <v>0</v>
      </c>
      <c r="E20" s="12" t="n">
        <v>124</v>
      </c>
      <c r="F20" s="13" t="n">
        <v>93</v>
      </c>
      <c r="G20" s="12" t="n">
        <f aca="false">F20-D20</f>
        <v>93</v>
      </c>
      <c r="H20" s="14" t="s">
        <v>39</v>
      </c>
    </row>
    <row r="21" customFormat="false" ht="22.3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1251</v>
      </c>
      <c r="E21" s="12" t="n">
        <v>826</v>
      </c>
      <c r="F21" s="13" t="n">
        <v>950</v>
      </c>
      <c r="G21" s="12" t="n">
        <f aca="false">F21-D21</f>
        <v>-301</v>
      </c>
      <c r="H21" s="14" t="s">
        <v>41</v>
      </c>
    </row>
    <row r="22" customFormat="false" ht="15" hidden="false" customHeight="false" outlineLevel="0" collapsed="false">
      <c r="A22" s="5" t="s">
        <v>42</v>
      </c>
      <c r="B22" s="5" t="s">
        <v>23</v>
      </c>
      <c r="C22" s="5" t="s">
        <v>24</v>
      </c>
      <c r="D22" s="12" t="n">
        <v>372</v>
      </c>
      <c r="E22" s="12" t="n">
        <v>267</v>
      </c>
      <c r="F22" s="13" t="n">
        <v>300</v>
      </c>
      <c r="G22" s="12" t="n">
        <f aca="false">F22-D22</f>
        <v>-72</v>
      </c>
      <c r="H22" s="14" t="s">
        <v>43</v>
      </c>
    </row>
    <row r="23" customFormat="false" ht="15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</v>
      </c>
      <c r="E23" s="12" t="n">
        <v>141</v>
      </c>
      <c r="F23" s="13" t="n">
        <v>140</v>
      </c>
      <c r="G23" s="12" t="n">
        <f aca="false">F23-D23</f>
        <v>15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353</v>
      </c>
      <c r="E24" s="12" t="n">
        <v>409</v>
      </c>
      <c r="F24" s="13" t="n">
        <v>347</v>
      </c>
      <c r="G24" s="12" t="n">
        <f aca="false">F24-D24</f>
        <v>-6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142</v>
      </c>
      <c r="F25" s="13" t="n">
        <v>65</v>
      </c>
      <c r="G25" s="12" t="n">
        <f aca="false">F25-D25</f>
        <v>-60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51</v>
      </c>
      <c r="D26" s="12" t="n">
        <v>886</v>
      </c>
      <c r="E26" s="12" t="n">
        <v>619</v>
      </c>
      <c r="F26" s="13" t="n">
        <v>600</v>
      </c>
      <c r="G26" s="12" t="n">
        <f aca="false">F26-D26</f>
        <v>-286</v>
      </c>
      <c r="H26" s="14" t="s">
        <v>52</v>
      </c>
    </row>
    <row r="27" customFormat="false" ht="15" hidden="false" customHeight="false" outlineLevel="0" collapsed="false">
      <c r="A27" s="15" t="s">
        <v>53</v>
      </c>
      <c r="B27" s="16"/>
      <c r="C27" s="16"/>
      <c r="D27" s="17" t="n">
        <f aca="false">SUM(D13:D26)</f>
        <v>15049</v>
      </c>
      <c r="E27" s="17" t="n">
        <f aca="false">SUM(E13:E26)</f>
        <v>14365</v>
      </c>
      <c r="F27" s="17" t="n">
        <f aca="false">SUM(F13:F26)</f>
        <v>14232</v>
      </c>
      <c r="G27" s="17" t="n">
        <f aca="false">SUM(G13:G26)</f>
        <v>-817</v>
      </c>
      <c r="H27" s="18"/>
    </row>
    <row r="28" customFormat="false" ht="15" hidden="false" customHeight="false" outlineLevel="0" collapsed="false">
      <c r="H28" s="19"/>
    </row>
    <row r="29" customFormat="false" ht="15" hidden="false" customHeight="false" outlineLevel="0" collapsed="false">
      <c r="A29" s="3" t="s">
        <v>54</v>
      </c>
      <c r="B29" s="4"/>
      <c r="C29" s="4"/>
      <c r="D29" s="4"/>
      <c r="E29" s="4"/>
      <c r="F29" s="4"/>
      <c r="G29" s="4"/>
      <c r="H29" s="11"/>
    </row>
    <row r="30" customFormat="false" ht="22.35" hidden="false" customHeight="false" outlineLevel="0" collapsed="false">
      <c r="A30" s="5" t="s">
        <v>55</v>
      </c>
      <c r="B30" s="5" t="s">
        <v>56</v>
      </c>
      <c r="C30" s="5" t="s">
        <v>51</v>
      </c>
      <c r="D30" s="12" t="n">
        <v>844</v>
      </c>
      <c r="E30" s="12" t="n">
        <v>733</v>
      </c>
      <c r="F30" s="13" t="n">
        <v>1050</v>
      </c>
      <c r="G30" s="12" t="n">
        <f aca="false">F30-D30</f>
        <v>206</v>
      </c>
      <c r="H30" s="14" t="s">
        <v>57</v>
      </c>
    </row>
    <row r="31" customFormat="false" ht="15" hidden="false" customHeight="false" outlineLevel="0" collapsed="false">
      <c r="A31" s="5" t="s">
        <v>58</v>
      </c>
      <c r="B31" s="5" t="s">
        <v>56</v>
      </c>
      <c r="C31" s="5" t="s">
        <v>59</v>
      </c>
      <c r="D31" s="12" t="n">
        <v>828</v>
      </c>
      <c r="E31" s="12" t="n">
        <v>965</v>
      </c>
      <c r="F31" s="13" t="n">
        <v>700</v>
      </c>
      <c r="G31" s="12" t="n">
        <f aca="false">F31-D31</f>
        <v>-128</v>
      </c>
      <c r="H31" s="14" t="s">
        <v>60</v>
      </c>
    </row>
    <row r="32" customFormat="false" ht="15" hidden="false" customHeight="false" outlineLevel="0" collapsed="false">
      <c r="A32" s="5" t="s">
        <v>61</v>
      </c>
      <c r="B32" s="5" t="s">
        <v>56</v>
      </c>
      <c r="C32" s="5" t="s">
        <v>51</v>
      </c>
      <c r="D32" s="12" t="n">
        <v>310</v>
      </c>
      <c r="E32" s="12" t="n">
        <v>325</v>
      </c>
      <c r="F32" s="13" t="n">
        <v>150</v>
      </c>
      <c r="G32" s="12" t="n">
        <f aca="false">F32-D32</f>
        <v>-160</v>
      </c>
      <c r="H32" s="14" t="s">
        <v>62</v>
      </c>
    </row>
    <row r="33" customFormat="false" ht="15" hidden="false" customHeight="false" outlineLevel="0" collapsed="false">
      <c r="A33" s="5" t="s">
        <v>63</v>
      </c>
      <c r="B33" s="5" t="s">
        <v>56</v>
      </c>
      <c r="C33" s="5" t="s">
        <v>24</v>
      </c>
      <c r="D33" s="12" t="n">
        <v>761</v>
      </c>
      <c r="E33" s="12" t="n">
        <v>952</v>
      </c>
      <c r="F33" s="13" t="n">
        <v>850</v>
      </c>
      <c r="G33" s="12" t="n">
        <f aca="false">F33-D33</f>
        <v>89</v>
      </c>
      <c r="H33" s="14" t="s">
        <v>64</v>
      </c>
    </row>
    <row r="34" customFormat="false" ht="15" hidden="false" customHeight="false" outlineLevel="0" collapsed="false">
      <c r="A34" s="5" t="s">
        <v>65</v>
      </c>
      <c r="B34" s="5" t="s">
        <v>56</v>
      </c>
      <c r="C34" s="5" t="s">
        <v>51</v>
      </c>
      <c r="D34" s="12" t="n">
        <v>58</v>
      </c>
      <c r="E34" s="12" t="n">
        <v>74</v>
      </c>
      <c r="F34" s="13" t="n">
        <v>75</v>
      </c>
      <c r="G34" s="12" t="n">
        <f aca="false">F34-D34</f>
        <v>17</v>
      </c>
      <c r="H34" s="14"/>
    </row>
    <row r="35" customFormat="false" ht="15" hidden="false" customHeight="false" outlineLevel="0" collapsed="false">
      <c r="A35" s="5" t="s">
        <v>66</v>
      </c>
      <c r="B35" s="5" t="s">
        <v>56</v>
      </c>
      <c r="C35" s="5" t="s">
        <v>51</v>
      </c>
      <c r="D35" s="12" t="n">
        <v>612</v>
      </c>
      <c r="E35" s="12" t="n">
        <v>553</v>
      </c>
      <c r="F35" s="13" t="n">
        <v>550</v>
      </c>
      <c r="G35" s="12" t="n">
        <f aca="false">F35-D35</f>
        <v>-62</v>
      </c>
      <c r="H35" s="14"/>
    </row>
    <row r="36" customFormat="false" ht="15" hidden="false" customHeight="false" outlineLevel="0" collapsed="false">
      <c r="A36" s="5" t="s">
        <v>67</v>
      </c>
      <c r="B36" s="5" t="s">
        <v>56</v>
      </c>
      <c r="C36" s="5" t="s">
        <v>51</v>
      </c>
      <c r="D36" s="12" t="n">
        <v>363</v>
      </c>
      <c r="E36" s="12" t="n">
        <v>464</v>
      </c>
      <c r="F36" s="13" t="n">
        <v>300</v>
      </c>
      <c r="G36" s="12" t="n">
        <f aca="false">F36-D36</f>
        <v>-63</v>
      </c>
      <c r="H36" s="14" t="s">
        <v>68</v>
      </c>
    </row>
    <row r="37" customFormat="false" ht="15" hidden="false" customHeight="false" outlineLevel="0" collapsed="false">
      <c r="A37" s="5" t="s">
        <v>69</v>
      </c>
      <c r="B37" s="5" t="s">
        <v>56</v>
      </c>
      <c r="C37" s="5" t="s">
        <v>59</v>
      </c>
      <c r="D37" s="12" t="n">
        <v>498</v>
      </c>
      <c r="E37" s="12" t="n">
        <v>499</v>
      </c>
      <c r="F37" s="13" t="n">
        <v>498</v>
      </c>
      <c r="G37" s="12" t="n">
        <f aca="false">F37-D37</f>
        <v>0</v>
      </c>
      <c r="H37" s="14" t="s">
        <v>70</v>
      </c>
    </row>
    <row r="38" customFormat="false" ht="15" hidden="false" customHeight="false" outlineLevel="0" collapsed="false">
      <c r="A38" s="5" t="s">
        <v>71</v>
      </c>
      <c r="B38" s="5" t="s">
        <v>56</v>
      </c>
      <c r="C38" s="5" t="s">
        <v>59</v>
      </c>
      <c r="D38" s="12" t="n">
        <v>493</v>
      </c>
      <c r="E38" s="12" t="n">
        <v>483</v>
      </c>
      <c r="F38" s="13" t="n">
        <v>490</v>
      </c>
      <c r="G38" s="12" t="n">
        <f aca="false">F38-D38</f>
        <v>-3</v>
      </c>
      <c r="H38" s="14" t="s">
        <v>72</v>
      </c>
    </row>
    <row r="39" customFormat="false" ht="15" hidden="false" customHeight="false" outlineLevel="0" collapsed="false">
      <c r="A39" s="5" t="s">
        <v>73</v>
      </c>
      <c r="B39" s="5" t="s">
        <v>56</v>
      </c>
      <c r="C39" s="5" t="s">
        <v>51</v>
      </c>
      <c r="D39" s="12" t="n">
        <v>207</v>
      </c>
      <c r="E39" s="12" t="n">
        <v>139</v>
      </c>
      <c r="F39" s="13" t="n">
        <v>200</v>
      </c>
      <c r="G39" s="12" t="n">
        <f aca="false">F39-D39</f>
        <v>-7</v>
      </c>
      <c r="H39" s="14" t="s">
        <v>74</v>
      </c>
    </row>
    <row r="40" customFormat="false" ht="22.35" hidden="false" customHeight="false" outlineLevel="0" collapsed="false">
      <c r="A40" s="5" t="s">
        <v>75</v>
      </c>
      <c r="B40" s="5" t="s">
        <v>56</v>
      </c>
      <c r="C40" s="5" t="s">
        <v>51</v>
      </c>
      <c r="D40" s="12" t="n">
        <v>870</v>
      </c>
      <c r="E40" s="12" t="n">
        <v>478</v>
      </c>
      <c r="F40" s="13" t="n">
        <v>350</v>
      </c>
      <c r="G40" s="12" t="n">
        <f aca="false">F40-D40</f>
        <v>-520</v>
      </c>
      <c r="H40" s="14" t="s">
        <v>76</v>
      </c>
    </row>
    <row r="41" customFormat="false" ht="15" hidden="false" customHeight="false" outlineLevel="0" collapsed="false">
      <c r="A41" s="5" t="s">
        <v>77</v>
      </c>
      <c r="B41" s="5" t="s">
        <v>56</v>
      </c>
      <c r="C41" s="5" t="s">
        <v>51</v>
      </c>
      <c r="D41" s="12" t="n">
        <v>93</v>
      </c>
      <c r="E41" s="12" t="n">
        <v>70</v>
      </c>
      <c r="F41" s="13" t="n">
        <v>50</v>
      </c>
      <c r="G41" s="12" t="n">
        <f aca="false">F41-D41</f>
        <v>-43</v>
      </c>
      <c r="H41" s="14" t="s">
        <v>78</v>
      </c>
    </row>
    <row r="42" customFormat="false" ht="15" hidden="false" customHeight="false" outlineLevel="0" collapsed="false">
      <c r="A42" s="5" t="s">
        <v>79</v>
      </c>
      <c r="B42" s="5" t="s">
        <v>56</v>
      </c>
      <c r="C42" s="5" t="s">
        <v>59</v>
      </c>
      <c r="D42" s="12" t="n">
        <v>296</v>
      </c>
      <c r="E42" s="12" t="n">
        <v>293</v>
      </c>
      <c r="F42" s="13" t="n">
        <v>300</v>
      </c>
      <c r="G42" s="12" t="n">
        <f aca="false">F42-D42</f>
        <v>4</v>
      </c>
      <c r="H42" s="14" t="s">
        <v>72</v>
      </c>
    </row>
    <row r="43" customFormat="false" ht="15" hidden="false" customHeight="false" outlineLevel="0" collapsed="false">
      <c r="A43" s="5" t="s">
        <v>80</v>
      </c>
      <c r="B43" s="5" t="s">
        <v>56</v>
      </c>
      <c r="C43" s="5" t="s">
        <v>51</v>
      </c>
      <c r="D43" s="12" t="n">
        <v>785</v>
      </c>
      <c r="E43" s="12" t="n">
        <v>1022</v>
      </c>
      <c r="F43" s="13" t="n">
        <v>500</v>
      </c>
      <c r="G43" s="12" t="n">
        <f aca="false">F43-D43</f>
        <v>-285</v>
      </c>
      <c r="H43" s="14" t="s">
        <v>81</v>
      </c>
    </row>
    <row r="44" customFormat="false" ht="15" hidden="false" customHeight="false" outlineLevel="0" collapsed="false">
      <c r="A44" s="5" t="s">
        <v>82</v>
      </c>
      <c r="B44" s="5" t="s">
        <v>56</v>
      </c>
      <c r="C44" s="5" t="s">
        <v>51</v>
      </c>
      <c r="D44" s="12" t="n">
        <v>280</v>
      </c>
      <c r="E44" s="12" t="n">
        <v>346</v>
      </c>
      <c r="F44" s="13" t="n">
        <v>250</v>
      </c>
      <c r="G44" s="12" t="n">
        <f aca="false">F44-D44</f>
        <v>-30</v>
      </c>
      <c r="H44" s="14"/>
    </row>
    <row r="45" customFormat="false" ht="15" hidden="false" customHeight="false" outlineLevel="0" collapsed="false">
      <c r="A45" s="5" t="s">
        <v>83</v>
      </c>
      <c r="B45" s="5" t="s">
        <v>56</v>
      </c>
      <c r="C45" s="5" t="s">
        <v>51</v>
      </c>
      <c r="D45" s="12" t="n">
        <v>101</v>
      </c>
      <c r="E45" s="12" t="n">
        <v>144</v>
      </c>
      <c r="F45" s="13" t="n">
        <v>100</v>
      </c>
      <c r="G45" s="12" t="n">
        <f aca="false">F45-D45</f>
        <v>-1</v>
      </c>
      <c r="H45" s="14"/>
    </row>
    <row r="46" customFormat="false" ht="15" hidden="false" customHeight="false" outlineLevel="0" collapsed="false">
      <c r="A46" s="5" t="s">
        <v>84</v>
      </c>
      <c r="B46" s="5" t="s">
        <v>56</v>
      </c>
      <c r="C46" s="5" t="s">
        <v>51</v>
      </c>
      <c r="D46" s="12" t="n">
        <v>63</v>
      </c>
      <c r="E46" s="12" t="n">
        <v>96</v>
      </c>
      <c r="F46" s="13" t="n">
        <v>75</v>
      </c>
      <c r="G46" s="12" t="n">
        <f aca="false">F46-D46</f>
        <v>12</v>
      </c>
      <c r="H46" s="14"/>
    </row>
    <row r="47" customFormat="false" ht="15" hidden="false" customHeight="false" outlineLevel="0" collapsed="false">
      <c r="A47" s="5" t="s">
        <v>85</v>
      </c>
      <c r="B47" s="5" t="s">
        <v>56</v>
      </c>
      <c r="C47" s="5" t="s">
        <v>51</v>
      </c>
      <c r="D47" s="12" t="n">
        <v>252</v>
      </c>
      <c r="E47" s="12" t="n">
        <v>214</v>
      </c>
      <c r="F47" s="13" t="n">
        <v>170</v>
      </c>
      <c r="G47" s="12" t="n">
        <f aca="false">F47-D47</f>
        <v>-82</v>
      </c>
      <c r="H47" s="14" t="s">
        <v>86</v>
      </c>
    </row>
    <row r="48" customFormat="false" ht="15" hidden="false" customHeight="false" outlineLevel="0" collapsed="false">
      <c r="A48" s="5" t="s">
        <v>87</v>
      </c>
      <c r="B48" s="5" t="s">
        <v>56</v>
      </c>
      <c r="C48" s="5" t="s">
        <v>51</v>
      </c>
      <c r="D48" s="12" t="n">
        <v>153</v>
      </c>
      <c r="E48" s="12" t="n">
        <v>176</v>
      </c>
      <c r="F48" s="13" t="n">
        <v>90</v>
      </c>
      <c r="G48" s="12" t="n">
        <f aca="false">F48-D48</f>
        <v>-63</v>
      </c>
      <c r="H48" s="14" t="s">
        <v>86</v>
      </c>
    </row>
    <row r="49" customFormat="false" ht="15" hidden="false" customHeight="false" outlineLevel="0" collapsed="false">
      <c r="A49" s="5" t="s">
        <v>88</v>
      </c>
      <c r="B49" s="5" t="s">
        <v>56</v>
      </c>
      <c r="C49" s="5" t="s">
        <v>51</v>
      </c>
      <c r="D49" s="12" t="n">
        <v>240</v>
      </c>
      <c r="E49" s="12" t="n">
        <v>298</v>
      </c>
      <c r="F49" s="13" t="n">
        <v>240</v>
      </c>
      <c r="G49" s="12" t="n">
        <f aca="false">F49-D49</f>
        <v>0</v>
      </c>
      <c r="H49" s="14" t="s">
        <v>89</v>
      </c>
    </row>
    <row r="50" customFormat="false" ht="15" hidden="false" customHeight="false" outlineLevel="0" collapsed="false">
      <c r="A50" s="5" t="s">
        <v>90</v>
      </c>
      <c r="B50" s="5" t="s">
        <v>56</v>
      </c>
      <c r="C50" s="5" t="s">
        <v>59</v>
      </c>
      <c r="D50" s="12" t="n">
        <v>38</v>
      </c>
      <c r="E50" s="12" t="n">
        <v>62</v>
      </c>
      <c r="F50" s="13" t="n">
        <v>75</v>
      </c>
      <c r="G50" s="12" t="n">
        <f aca="false">F50-D50</f>
        <v>37</v>
      </c>
      <c r="H50" s="14" t="s">
        <v>91</v>
      </c>
    </row>
    <row r="51" customFormat="false" ht="15" hidden="false" customHeight="false" outlineLevel="0" collapsed="false">
      <c r="A51" s="5" t="s">
        <v>92</v>
      </c>
      <c r="B51" s="5" t="s">
        <v>56</v>
      </c>
      <c r="C51" s="5" t="s">
        <v>51</v>
      </c>
      <c r="D51" s="12" t="n">
        <v>117</v>
      </c>
      <c r="E51" s="12" t="n">
        <v>113</v>
      </c>
      <c r="F51" s="13" t="n">
        <v>115</v>
      </c>
      <c r="G51" s="12" t="n">
        <f aca="false">F51-D51</f>
        <v>-2</v>
      </c>
      <c r="H51" s="14"/>
    </row>
    <row r="52" customFormat="false" ht="15" hidden="false" customHeight="false" outlineLevel="0" collapsed="false">
      <c r="A52" s="5" t="s">
        <v>93</v>
      </c>
      <c r="B52" s="5" t="s">
        <v>56</v>
      </c>
      <c r="C52" s="5" t="s">
        <v>51</v>
      </c>
      <c r="D52" s="12" t="n">
        <v>159</v>
      </c>
      <c r="E52" s="12" t="n">
        <v>174</v>
      </c>
      <c r="F52" s="13" t="n">
        <v>150</v>
      </c>
      <c r="G52" s="12" t="n">
        <f aca="false">F52-D52</f>
        <v>-9</v>
      </c>
      <c r="H52" s="14" t="s">
        <v>94</v>
      </c>
    </row>
    <row r="53" customFormat="false" ht="15" hidden="false" customHeight="false" outlineLevel="0" collapsed="false">
      <c r="A53" s="15" t="s">
        <v>95</v>
      </c>
      <c r="B53" s="16"/>
      <c r="C53" s="16"/>
      <c r="D53" s="17" t="n">
        <f aca="false">SUM(D30:D52)</f>
        <v>8421</v>
      </c>
      <c r="E53" s="17" t="n">
        <f aca="false">SUM(E30:E52)</f>
        <v>8673</v>
      </c>
      <c r="F53" s="17" t="n">
        <f aca="false">SUM(F30:F52)</f>
        <v>7328</v>
      </c>
      <c r="G53" s="17" t="n">
        <f aca="false">SUM(G30:G52)</f>
        <v>-1093</v>
      </c>
      <c r="H53" s="18"/>
    </row>
    <row r="54" customFormat="false" ht="15" hidden="false" customHeight="false" outlineLevel="0" collapsed="false">
      <c r="H54" s="19"/>
    </row>
    <row r="55" customFormat="false" ht="15" hidden="false" customHeight="false" outlineLevel="0" collapsed="false">
      <c r="A55" s="3" t="s">
        <v>96</v>
      </c>
      <c r="B55" s="4"/>
      <c r="C55" s="4"/>
      <c r="D55" s="4"/>
      <c r="E55" s="4"/>
      <c r="F55" s="4"/>
      <c r="G55" s="4"/>
      <c r="H55" s="11"/>
    </row>
    <row r="56" customFormat="false" ht="15" hidden="false" customHeight="false" outlineLevel="0" collapsed="false">
      <c r="A56" s="5" t="s">
        <v>97</v>
      </c>
      <c r="F56" s="12" t="n">
        <f aca="false">B9</f>
        <v>26233.0266666667</v>
      </c>
      <c r="H56" s="19"/>
    </row>
    <row r="57" customFormat="false" ht="15" hidden="false" customHeight="false" outlineLevel="0" collapsed="false">
      <c r="A57" s="5" t="s">
        <v>98</v>
      </c>
      <c r="F57" s="12" t="n">
        <f aca="false">-F27</f>
        <v>-14232</v>
      </c>
      <c r="H57" s="19"/>
    </row>
    <row r="58" customFormat="false" ht="15" hidden="false" customHeight="false" outlineLevel="0" collapsed="false">
      <c r="A58" s="5" t="s">
        <v>99</v>
      </c>
      <c r="F58" s="12" t="n">
        <f aca="false">-F53</f>
        <v>-7328</v>
      </c>
      <c r="H58" s="19"/>
    </row>
    <row r="59" customFormat="false" ht="22.35" hidden="false" customHeight="false" outlineLevel="0" collapsed="false">
      <c r="A59" s="20" t="s">
        <v>100</v>
      </c>
      <c r="F59" s="9" t="n">
        <f aca="false">SUM(F56:F58)</f>
        <v>4673.02666666667</v>
      </c>
      <c r="H59" s="14" t="s">
        <v>101</v>
      </c>
    </row>
    <row r="60" customFormat="false" ht="15" hidden="false" customHeight="false" outlineLevel="0" collapsed="false">
      <c r="H60" s="19"/>
    </row>
    <row r="61" customFormat="false" ht="15" hidden="false" customHeight="false" outlineLevel="0" collapsed="false">
      <c r="A61" s="8" t="s">
        <v>102</v>
      </c>
      <c r="H61" s="19"/>
    </row>
    <row r="62" customFormat="false" ht="22.35" hidden="false" customHeight="false" outlineLevel="0" collapsed="false">
      <c r="A62" s="5" t="s">
        <v>103</v>
      </c>
      <c r="B62" s="5" t="s">
        <v>104</v>
      </c>
      <c r="C62" s="5" t="s">
        <v>38</v>
      </c>
      <c r="D62" s="12" t="n">
        <v>200</v>
      </c>
      <c r="F62" s="13" t="n">
        <v>500</v>
      </c>
      <c r="H62" s="14" t="s">
        <v>105</v>
      </c>
    </row>
    <row r="63" customFormat="false" ht="15" hidden="false" customHeight="false" outlineLevel="0" collapsed="false">
      <c r="A63" s="5" t="s">
        <v>106</v>
      </c>
      <c r="B63" s="5" t="s">
        <v>104</v>
      </c>
      <c r="C63" s="5" t="s">
        <v>38</v>
      </c>
      <c r="F63" s="13" t="n">
        <v>250</v>
      </c>
      <c r="H63" s="14" t="s">
        <v>107</v>
      </c>
    </row>
    <row r="64" customFormat="false" ht="15" hidden="false" customHeight="false" outlineLevel="0" collapsed="false">
      <c r="A64" s="5" t="s">
        <v>108</v>
      </c>
      <c r="B64" s="5" t="s">
        <v>104</v>
      </c>
      <c r="C64" s="5" t="s">
        <v>38</v>
      </c>
      <c r="F64" s="13" t="n">
        <v>200</v>
      </c>
      <c r="H64" s="14" t="s">
        <v>109</v>
      </c>
    </row>
    <row r="65" customFormat="false" ht="22.35" hidden="false" customHeight="false" outlineLevel="0" collapsed="false">
      <c r="A65" s="5" t="s">
        <v>110</v>
      </c>
      <c r="B65" s="5" t="s">
        <v>111</v>
      </c>
      <c r="C65" s="5" t="s">
        <v>38</v>
      </c>
      <c r="F65" s="12" t="n">
        <f aca="false">MAX(F71-F72-F73,0)/F74</f>
        <v>1076.25</v>
      </c>
      <c r="H65" s="14" t="s">
        <v>112</v>
      </c>
    </row>
    <row r="66" customFormat="false" ht="15" hidden="false" customHeight="false" outlineLevel="0" collapsed="false">
      <c r="A66" s="15" t="s">
        <v>113</v>
      </c>
      <c r="F66" s="17" t="n">
        <f aca="false">SUM(F62:F65)</f>
        <v>2026.25</v>
      </c>
      <c r="H66" s="19"/>
    </row>
    <row r="67" customFormat="false" ht="22.35" hidden="false" customHeight="false" outlineLevel="0" collapsed="false">
      <c r="A67" s="20" t="s">
        <v>114</v>
      </c>
      <c r="F67" s="9" t="n">
        <f aca="false">F59-F66</f>
        <v>2646.77666666667</v>
      </c>
      <c r="H67" s="14" t="s">
        <v>115</v>
      </c>
    </row>
    <row r="68" customFormat="false" ht="15" hidden="false" customHeight="false" outlineLevel="0" collapsed="false">
      <c r="A68" s="20" t="s">
        <v>116</v>
      </c>
      <c r="F68" s="9" t="n">
        <f aca="false">F67+F65</f>
        <v>3723.02666666667</v>
      </c>
      <c r="H68" s="19"/>
    </row>
    <row r="69" customFormat="false" ht="15" hidden="false" customHeight="false" outlineLevel="0" collapsed="false">
      <c r="H69" s="19"/>
    </row>
    <row r="70" customFormat="false" ht="15" hidden="false" customHeight="false" outlineLevel="0" collapsed="false">
      <c r="A70" s="3" t="s">
        <v>117</v>
      </c>
      <c r="B70" s="4"/>
      <c r="C70" s="4"/>
      <c r="D70" s="4"/>
      <c r="E70" s="4"/>
      <c r="F70" s="4"/>
      <c r="G70" s="4"/>
      <c r="H70" s="11"/>
    </row>
    <row r="71" customFormat="false" ht="15" hidden="false" customHeight="false" outlineLevel="0" collapsed="false">
      <c r="A71" s="5" t="s">
        <v>118</v>
      </c>
      <c r="F71" s="13" t="n">
        <v>5000</v>
      </c>
      <c r="H71" s="14" t="s">
        <v>119</v>
      </c>
    </row>
    <row r="72" customFormat="false" ht="15" hidden="false" customHeight="false" outlineLevel="0" collapsed="false">
      <c r="A72" s="5" t="s">
        <v>120</v>
      </c>
      <c r="F72" s="13" t="n">
        <v>695</v>
      </c>
      <c r="H72" s="14" t="s">
        <v>121</v>
      </c>
    </row>
    <row r="73" customFormat="false" ht="15" hidden="false" customHeight="false" outlineLevel="0" collapsed="false">
      <c r="A73" s="5" t="s">
        <v>122</v>
      </c>
      <c r="F73" s="13" t="n">
        <v>0</v>
      </c>
      <c r="H73" s="14" t="s">
        <v>123</v>
      </c>
    </row>
    <row r="74" customFormat="false" ht="15" hidden="false" customHeight="false" outlineLevel="0" collapsed="false">
      <c r="A74" s="5" t="s">
        <v>124</v>
      </c>
      <c r="F74" s="7" t="n">
        <v>4</v>
      </c>
      <c r="H74" s="14"/>
    </row>
    <row r="75" customFormat="false" ht="15" hidden="false" customHeight="false" outlineLevel="0" collapsed="false">
      <c r="H75" s="19"/>
    </row>
    <row r="76" customFormat="false" ht="15" hidden="false" customHeight="false" outlineLevel="0" collapsed="false">
      <c r="A76" s="3" t="s">
        <v>125</v>
      </c>
      <c r="B76" s="4"/>
      <c r="C76" s="4"/>
      <c r="D76" s="4"/>
      <c r="E76" s="4"/>
      <c r="F76" s="4"/>
      <c r="G76" s="4"/>
      <c r="H76" s="11"/>
    </row>
    <row r="77" customFormat="false" ht="30" hidden="false" customHeight="true" outlineLevel="0" collapsed="false">
      <c r="A77" s="21"/>
      <c r="B77" s="10"/>
      <c r="C77" s="10"/>
      <c r="D77" s="10" t="s">
        <v>126</v>
      </c>
      <c r="E77" s="10" t="s">
        <v>127</v>
      </c>
      <c r="F77" s="10" t="s">
        <v>128</v>
      </c>
      <c r="G77" s="10" t="s">
        <v>129</v>
      </c>
      <c r="H77" s="22" t="s">
        <v>130</v>
      </c>
    </row>
    <row r="78" customFormat="false" ht="15" hidden="false" customHeight="false" outlineLevel="0" collapsed="false">
      <c r="A78" s="5" t="s">
        <v>23</v>
      </c>
      <c r="D78" s="12" t="n">
        <f aca="false">F27</f>
        <v>14232</v>
      </c>
      <c r="E78" s="13" t="n">
        <f aca="false">4832.88*$B$6/12</f>
        <v>9665.76</v>
      </c>
      <c r="F78" s="23" t="n">
        <f aca="false">(D78-E78)/($B$8/12)</f>
        <v>1053.74769230769</v>
      </c>
      <c r="G78" s="6" t="n">
        <v>796.33</v>
      </c>
      <c r="H78" s="24" t="n">
        <f aca="false">F78-G78</f>
        <v>257.417692307692</v>
      </c>
      <c r="I78" s="2" t="s">
        <v>131</v>
      </c>
    </row>
    <row r="79" customFormat="false" ht="15" hidden="false" customHeight="false" outlineLevel="0" collapsed="false">
      <c r="A79" s="5" t="s">
        <v>56</v>
      </c>
      <c r="D79" s="12" t="n">
        <f aca="false">F53</f>
        <v>7328</v>
      </c>
      <c r="E79" s="13" t="n">
        <f aca="false">2899.72*$B$6/12</f>
        <v>5799.44</v>
      </c>
      <c r="F79" s="23" t="n">
        <f aca="false">(D79-E79)/($B$8/12)</f>
        <v>352.744615384616</v>
      </c>
      <c r="G79" s="6" t="n">
        <v>477.8</v>
      </c>
      <c r="H79" s="24" t="n">
        <f aca="false">F79-G79</f>
        <v>-125.055384615385</v>
      </c>
    </row>
    <row r="80" customFormat="false" ht="15" hidden="false" customHeight="false" outlineLevel="0" collapsed="false">
      <c r="A80" s="5" t="s">
        <v>132</v>
      </c>
      <c r="D80" s="12" t="n">
        <f aca="false">F59</f>
        <v>4673.02666666667</v>
      </c>
      <c r="E80" s="13" t="n">
        <f aca="false">1933.15*$B$6/12</f>
        <v>3866.3</v>
      </c>
      <c r="F80" s="23" t="n">
        <f aca="false">(D80-E80)/($B$8/12)</f>
        <v>186.167692307693</v>
      </c>
      <c r="G80" s="6" t="n">
        <v>318.53</v>
      </c>
      <c r="H80" s="24" t="n">
        <f aca="false">F80-G80</f>
        <v>-132.362307692307</v>
      </c>
    </row>
    <row r="81" customFormat="false" ht="15" hidden="false" customHeight="false" outlineLevel="0" collapsed="false">
      <c r="A81" s="8" t="s">
        <v>133</v>
      </c>
      <c r="D81" s="25" t="n">
        <f aca="false">SUM(D78:D80)</f>
        <v>26233.0266666667</v>
      </c>
      <c r="E81" s="25" t="n">
        <f aca="false">SUM(E78:E80)</f>
        <v>19331.5</v>
      </c>
      <c r="F81" s="23" t="n">
        <f aca="false">SUM(F78:F80)</f>
        <v>1592.66</v>
      </c>
      <c r="G81" s="23" t="n">
        <f aca="false">SUM(G78:G80)</f>
        <v>1592.66</v>
      </c>
      <c r="H81" s="26" t="n">
        <f aca="false">SUM(H78:H80)</f>
        <v>4.83169060316868E-013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1" min="7" style="0" width="13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10" t="s">
        <v>136</v>
      </c>
      <c r="B4" s="10" t="s">
        <v>137</v>
      </c>
      <c r="C4" s="10" t="s">
        <v>138</v>
      </c>
      <c r="E4" s="10" t="s">
        <v>139</v>
      </c>
      <c r="F4" s="10"/>
      <c r="G4" s="10" t="s">
        <v>140</v>
      </c>
    </row>
    <row r="5" customFormat="false" ht="15" hidden="false" customHeight="false" outlineLevel="0" collapsed="false">
      <c r="A5" s="5" t="s">
        <v>141</v>
      </c>
      <c r="B5" s="6" t="n">
        <v>9800.78</v>
      </c>
      <c r="C5" s="2" t="s">
        <v>142</v>
      </c>
      <c r="E5" s="8" t="s">
        <v>143</v>
      </c>
      <c r="G5" s="27" t="n">
        <f aca="false">IFERROR(INDEX(A20:A39,MATCH(1,Q20:Q39,0)),"after Jun-28")</f>
        <v>46447</v>
      </c>
    </row>
    <row r="6" customFormat="false" ht="15" hidden="false" customHeight="false" outlineLevel="0" collapsed="false">
      <c r="A6" s="5" t="s">
        <v>144</v>
      </c>
      <c r="B6" s="28" t="n">
        <v>0.2974</v>
      </c>
      <c r="C6" s="2" t="s">
        <v>145</v>
      </c>
      <c r="E6" s="8" t="s">
        <v>146</v>
      </c>
      <c r="G6" s="27" t="n">
        <f aca="false">IFERROR(INDEX(A20:A39,MATCH(1,R20:R39,0)),"after Jun-28")</f>
        <v>46478</v>
      </c>
    </row>
    <row r="7" customFormat="false" ht="15" hidden="false" customHeight="false" outlineLevel="0" collapsed="false">
      <c r="A7" s="5" t="s">
        <v>147</v>
      </c>
      <c r="B7" s="6" t="n">
        <v>5341.52</v>
      </c>
      <c r="C7" s="2" t="s">
        <v>142</v>
      </c>
      <c r="E7" s="8" t="s">
        <v>148</v>
      </c>
      <c r="G7" s="27" t="n">
        <f aca="false">IFERROR(INDEX(A20:A39,MATCH(1,S20:S39,0)),"after Jun-28")</f>
        <v>46478</v>
      </c>
    </row>
    <row r="8" customFormat="false" ht="15" hidden="false" customHeight="false" outlineLevel="0" collapsed="false">
      <c r="A8" s="5" t="s">
        <v>149</v>
      </c>
      <c r="B8" s="28" t="n">
        <v>0.1749</v>
      </c>
      <c r="C8" s="2" t="s">
        <v>145</v>
      </c>
      <c r="E8" s="8" t="s">
        <v>150</v>
      </c>
      <c r="G8" s="27" t="n">
        <f aca="false">IFERROR(INDEX(A20:A39,MATCH(1,T20:T39,0)),"after Jun-28")</f>
        <v>46631</v>
      </c>
    </row>
    <row r="9" customFormat="false" ht="15" hidden="false" customHeight="false" outlineLevel="0" collapsed="false">
      <c r="A9" s="5" t="s">
        <v>151</v>
      </c>
      <c r="B9" s="28" t="n">
        <v>0.01</v>
      </c>
      <c r="C9" s="2" t="s">
        <v>152</v>
      </c>
      <c r="E9" s="8" t="s">
        <v>153</v>
      </c>
      <c r="G9" s="27" t="n">
        <f aca="false">IFERROR(INDEX(A20:A39,MATCH(1,U20:U39,0)),"after Jun-28")</f>
        <v>46722</v>
      </c>
    </row>
    <row r="10" customFormat="false" ht="15" hidden="false" customHeight="false" outlineLevel="0" collapsed="false">
      <c r="A10" s="5" t="s">
        <v>154</v>
      </c>
      <c r="B10" s="13" t="n">
        <v>12081</v>
      </c>
      <c r="C10" s="2" t="s">
        <v>155</v>
      </c>
      <c r="E10" s="8" t="s">
        <v>156</v>
      </c>
      <c r="G10" s="9" t="n">
        <f aca="false">SUM(F20:F39)+SUM(J20:J39)</f>
        <v>1045.31719806486</v>
      </c>
    </row>
    <row r="11" customFormat="false" ht="15" hidden="false" customHeight="false" outlineLevel="0" collapsed="false">
      <c r="A11" s="5" t="s">
        <v>157</v>
      </c>
      <c r="B11" s="13" t="n">
        <v>30000</v>
      </c>
      <c r="C11" s="2" t="s">
        <v>158</v>
      </c>
      <c r="E11" s="8" t="s">
        <v>159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160</v>
      </c>
      <c r="B12" s="13" t="n">
        <v>40000</v>
      </c>
      <c r="C12" s="2" t="s">
        <v>161</v>
      </c>
      <c r="E12" s="2" t="s">
        <v>162</v>
      </c>
    </row>
    <row r="13" customFormat="false" ht="15" hidden="false" customHeight="false" outlineLevel="0" collapsed="false">
      <c r="A13" s="5" t="s">
        <v>163</v>
      </c>
      <c r="B13" s="29" t="n">
        <v>46419</v>
      </c>
      <c r="C13" s="2" t="s">
        <v>164</v>
      </c>
    </row>
    <row r="14" customFormat="false" ht="15" hidden="false" customHeight="false" outlineLevel="0" collapsed="false">
      <c r="A14" s="5" t="s">
        <v>165</v>
      </c>
      <c r="B14" s="13" t="n">
        <v>0</v>
      </c>
      <c r="C14" s="2" t="s">
        <v>166</v>
      </c>
    </row>
    <row r="15" customFormat="false" ht="15" hidden="false" customHeight="false" outlineLevel="0" collapsed="false">
      <c r="A15" s="5" t="s">
        <v>167</v>
      </c>
      <c r="B15" s="29" t="n">
        <v>46447</v>
      </c>
      <c r="C15" s="2"/>
    </row>
    <row r="19" customFormat="false" ht="31.5" hidden="false" customHeight="true" outlineLevel="0" collapsed="false">
      <c r="A19" s="10" t="s">
        <v>168</v>
      </c>
      <c r="B19" s="10" t="s">
        <v>169</v>
      </c>
      <c r="C19" s="10" t="s">
        <v>170</v>
      </c>
      <c r="D19" s="10" t="s">
        <v>171</v>
      </c>
      <c r="E19" s="10" t="s">
        <v>172</v>
      </c>
      <c r="F19" s="10" t="s">
        <v>173</v>
      </c>
      <c r="G19" s="10" t="s">
        <v>174</v>
      </c>
      <c r="H19" s="10" t="s">
        <v>175</v>
      </c>
      <c r="I19" s="10" t="s">
        <v>176</v>
      </c>
      <c r="J19" s="10" t="s">
        <v>177</v>
      </c>
      <c r="K19" s="10" t="s">
        <v>178</v>
      </c>
      <c r="L19" s="10" t="s">
        <v>179</v>
      </c>
      <c r="M19" s="10" t="s">
        <v>180</v>
      </c>
      <c r="N19" s="10" t="s">
        <v>181</v>
      </c>
      <c r="O19" s="10" t="s">
        <v>182</v>
      </c>
      <c r="P19" s="10" t="s">
        <v>183</v>
      </c>
      <c r="Q19" s="10" t="s">
        <v>184</v>
      </c>
      <c r="R19" s="10" t="s">
        <v>185</v>
      </c>
      <c r="S19" s="10" t="s">
        <v>186</v>
      </c>
      <c r="T19" s="10" t="s">
        <v>187</v>
      </c>
      <c r="U19" s="10" t="s">
        <v>188</v>
      </c>
    </row>
    <row r="20" customFormat="false" ht="15" hidden="false" customHeight="false" outlineLevel="0" collapsed="false">
      <c r="A20" s="30" t="n">
        <v>46327</v>
      </c>
      <c r="B20" s="31" t="n">
        <f aca="false">IF(A20&lt;=$B$13,Budget!$F$67,Budget!$F$68)</f>
        <v>2646.77666666667</v>
      </c>
      <c r="C20" s="12" t="n">
        <f aca="false">IF(A20=$B$15,$B$14,0)</f>
        <v>0</v>
      </c>
      <c r="D20" s="12" t="n">
        <f aca="false">B20+C20</f>
        <v>2646.77666666667</v>
      </c>
      <c r="E20" s="12" t="n">
        <f aca="false">$B$5</f>
        <v>9800.78</v>
      </c>
      <c r="F20" s="12" t="n">
        <f aca="false">E20*$B$6/12</f>
        <v>242.895997666667</v>
      </c>
      <c r="G20" s="12" t="n">
        <f aca="false">MIN(E20+F20,MAX(D20-K20,0))</f>
        <v>2515.50881266667</v>
      </c>
      <c r="H20" s="12" t="n">
        <f aca="false">E20+F20-G20</f>
        <v>7528.167185</v>
      </c>
      <c r="I20" s="12" t="n">
        <f aca="false">$B$7</f>
        <v>5341.52</v>
      </c>
      <c r="J20" s="12" t="n">
        <f aca="false">I20*$B$8/12</f>
        <v>77.852654</v>
      </c>
      <c r="K20" s="12" t="n">
        <f aca="false">MIN(I20+J20,J20+$B$9*I20)</f>
        <v>131.267854</v>
      </c>
      <c r="L20" s="12" t="n">
        <f aca="false">MIN(I20+J20,D20-G20)</f>
        <v>131.267854</v>
      </c>
      <c r="M20" s="12" t="n">
        <f aca="false">I20+J20-L20</f>
        <v>5288.1048</v>
      </c>
      <c r="N20" s="12" t="n">
        <f aca="false">$B$10</f>
        <v>12081</v>
      </c>
      <c r="O20" s="12" t="n">
        <f aca="false">MAX(D20-G20-L20,0)</f>
        <v>0</v>
      </c>
      <c r="P20" s="12" t="n">
        <f aca="false">N20+O20</f>
        <v>12081</v>
      </c>
      <c r="Q20" s="5" t="n">
        <f aca="false">IF(H20&lt;=0.005,1,0)</f>
        <v>0</v>
      </c>
      <c r="R20" s="5" t="n">
        <f aca="false">IF(M20&lt;=0.005,1,0)</f>
        <v>0</v>
      </c>
      <c r="S20" s="5" t="n">
        <f aca="false">IF(AND(Q20=1,R20=1),1,0)</f>
        <v>0</v>
      </c>
      <c r="T20" s="5" t="n">
        <f aca="false">IF(P20&gt;=$B$11,1,0)</f>
        <v>0</v>
      </c>
      <c r="U20" s="5" t="n">
        <f aca="false">IF(P20&gt;=$B$12,1,0)</f>
        <v>0</v>
      </c>
    </row>
    <row r="21" customFormat="false" ht="15" hidden="false" customHeight="false" outlineLevel="0" collapsed="false">
      <c r="A21" s="30" t="n">
        <v>46357</v>
      </c>
      <c r="B21" s="31" t="n">
        <f aca="false">IF(A21&lt;=$B$13,Budget!$F$67,Budget!$F$68)</f>
        <v>2646.77666666667</v>
      </c>
      <c r="C21" s="12" t="n">
        <f aca="false">IF(A21=$B$15,$B$14,0)</f>
        <v>0</v>
      </c>
      <c r="D21" s="12" t="n">
        <f aca="false">B21+C21</f>
        <v>2646.77666666667</v>
      </c>
      <c r="E21" s="12" t="n">
        <f aca="false">H20</f>
        <v>7528.167185</v>
      </c>
      <c r="F21" s="12" t="n">
        <f aca="false">E21*$B$6/12</f>
        <v>186.573076734917</v>
      </c>
      <c r="G21" s="12" t="n">
        <f aca="false">MIN(E21+F21,MAX(D21-K21,0))</f>
        <v>2516.82149120667</v>
      </c>
      <c r="H21" s="12" t="n">
        <f aca="false">E21+F21-G21</f>
        <v>5197.91877052825</v>
      </c>
      <c r="I21" s="12" t="n">
        <f aca="false">M20</f>
        <v>5288.1048</v>
      </c>
      <c r="J21" s="12" t="n">
        <f aca="false">I21*$B$8/12</f>
        <v>77.07412746</v>
      </c>
      <c r="K21" s="12" t="n">
        <f aca="false">MIN(I21+J21,J21+$B$9*I21)</f>
        <v>129.95517546</v>
      </c>
      <c r="L21" s="12" t="n">
        <f aca="false">MIN(I21+J21,D21-G21)</f>
        <v>129.95517546</v>
      </c>
      <c r="M21" s="12" t="n">
        <f aca="false">I21+J21-L21</f>
        <v>5235.223752</v>
      </c>
      <c r="N21" s="12" t="n">
        <f aca="false">P20</f>
        <v>12081</v>
      </c>
      <c r="O21" s="12" t="n">
        <f aca="false">MAX(D21-G21-L21,0)</f>
        <v>0</v>
      </c>
      <c r="P21" s="12" t="n">
        <f aca="false">N21+O21</f>
        <v>12081</v>
      </c>
      <c r="Q21" s="5" t="n">
        <f aca="false">IF(H21&lt;=0.005,1,0)</f>
        <v>0</v>
      </c>
      <c r="R21" s="5" t="n">
        <f aca="false">IF(M21&lt;=0.005,1,0)</f>
        <v>0</v>
      </c>
      <c r="S21" s="5" t="n">
        <f aca="false">IF(AND(Q21=1,R21=1),1,0)</f>
        <v>0</v>
      </c>
      <c r="T21" s="5" t="n">
        <f aca="false">IF(P21&gt;=$B$11,1,0)</f>
        <v>0</v>
      </c>
      <c r="U21" s="5" t="n">
        <f aca="false">IF(P21&gt;=$B$12,1,0)</f>
        <v>0</v>
      </c>
    </row>
    <row r="22" customFormat="false" ht="15" hidden="false" customHeight="false" outlineLevel="0" collapsed="false">
      <c r="A22" s="30" t="n">
        <v>46388</v>
      </c>
      <c r="B22" s="31" t="n">
        <f aca="false">IF(A22&lt;=$B$13,Budget!$F$67,Budget!$F$68)</f>
        <v>2646.77666666667</v>
      </c>
      <c r="C22" s="12" t="n">
        <f aca="false">IF(A22=$B$15,$B$14,0)</f>
        <v>0</v>
      </c>
      <c r="D22" s="12" t="n">
        <f aca="false">B22+C22</f>
        <v>2646.77666666667</v>
      </c>
      <c r="E22" s="12" t="n">
        <f aca="false">H21</f>
        <v>5197.91877052825</v>
      </c>
      <c r="F22" s="12" t="n">
        <f aca="false">E22*$B$6/12</f>
        <v>128.821753529592</v>
      </c>
      <c r="G22" s="12" t="n">
        <f aca="false">MIN(E22+F22,MAX(D22-K22,0))</f>
        <v>2518.12104296127</v>
      </c>
      <c r="H22" s="12" t="n">
        <f aca="false">E22+F22-G22</f>
        <v>2808.61948109657</v>
      </c>
      <c r="I22" s="12" t="n">
        <f aca="false">M21</f>
        <v>5235.223752</v>
      </c>
      <c r="J22" s="12" t="n">
        <f aca="false">I22*$B$8/12</f>
        <v>76.3033861854</v>
      </c>
      <c r="K22" s="12" t="n">
        <f aca="false">MIN(I22+J22,J22+$B$9*I22)</f>
        <v>128.6556237054</v>
      </c>
      <c r="L22" s="12" t="n">
        <f aca="false">MIN(I22+J22,D22-G22)</f>
        <v>128.6556237054</v>
      </c>
      <c r="M22" s="12" t="n">
        <f aca="false">I22+J22-L22</f>
        <v>5182.87151448</v>
      </c>
      <c r="N22" s="12" t="n">
        <f aca="false">P21</f>
        <v>12081</v>
      </c>
      <c r="O22" s="12" t="n">
        <f aca="false">MAX(D22-G22-L22,0)</f>
        <v>0</v>
      </c>
      <c r="P22" s="12" t="n">
        <f aca="false">N22+O22</f>
        <v>12081</v>
      </c>
      <c r="Q22" s="5" t="n">
        <f aca="false">IF(H22&lt;=0.005,1,0)</f>
        <v>0</v>
      </c>
      <c r="R22" s="5" t="n">
        <f aca="false">IF(M22&lt;=0.005,1,0)</f>
        <v>0</v>
      </c>
      <c r="S22" s="5" t="n">
        <f aca="false">IF(AND(Q22=1,R22=1),1,0)</f>
        <v>0</v>
      </c>
      <c r="T22" s="5" t="n">
        <f aca="false">IF(P22&gt;=$B$11,1,0)</f>
        <v>0</v>
      </c>
      <c r="U22" s="5" t="n">
        <f aca="false">IF(P22&gt;=$B$12,1,0)</f>
        <v>0</v>
      </c>
    </row>
    <row r="23" customFormat="false" ht="15" hidden="false" customHeight="false" outlineLevel="0" collapsed="false">
      <c r="A23" s="30" t="n">
        <v>46419</v>
      </c>
      <c r="B23" s="31" t="n">
        <f aca="false">IF(A23&lt;=$B$13,Budget!$F$67,Budget!$F$68)</f>
        <v>2646.77666666667</v>
      </c>
      <c r="C23" s="12" t="n">
        <f aca="false">IF(A23=$B$15,$B$14,0)</f>
        <v>0</v>
      </c>
      <c r="D23" s="12" t="n">
        <f aca="false">B23+C23</f>
        <v>2646.77666666667</v>
      </c>
      <c r="E23" s="12" t="n">
        <f aca="false">H22</f>
        <v>2808.61948109657</v>
      </c>
      <c r="F23" s="12" t="n">
        <f aca="false">E23*$B$6/12</f>
        <v>69.60695280651</v>
      </c>
      <c r="G23" s="12" t="n">
        <f aca="false">MIN(E23+F23,MAX(D23-K23,0))</f>
        <v>2519.40759919832</v>
      </c>
      <c r="H23" s="12" t="n">
        <f aca="false">E23+F23-G23</f>
        <v>358.818834704759</v>
      </c>
      <c r="I23" s="12" t="n">
        <f aca="false">M22</f>
        <v>5182.87151448</v>
      </c>
      <c r="J23" s="12" t="n">
        <f aca="false">I23*$B$8/12</f>
        <v>75.540352323546</v>
      </c>
      <c r="K23" s="12" t="n">
        <f aca="false">MIN(I23+J23,J23+$B$9*I23)</f>
        <v>127.369067468346</v>
      </c>
      <c r="L23" s="12" t="n">
        <f aca="false">MIN(I23+J23,D23-G23)</f>
        <v>127.369067468346</v>
      </c>
      <c r="M23" s="12" t="n">
        <f aca="false">I23+J23-L23</f>
        <v>5131.0427993352</v>
      </c>
      <c r="N23" s="12" t="n">
        <f aca="false">P22</f>
        <v>12081</v>
      </c>
      <c r="O23" s="12" t="n">
        <f aca="false">MAX(D23-G23-L23,0)</f>
        <v>0</v>
      </c>
      <c r="P23" s="12" t="n">
        <f aca="false">N23+O23</f>
        <v>12081</v>
      </c>
      <c r="Q23" s="5" t="n">
        <f aca="false">IF(H23&lt;=0.005,1,0)</f>
        <v>0</v>
      </c>
      <c r="R23" s="5" t="n">
        <f aca="false">IF(M23&lt;=0.005,1,0)</f>
        <v>0</v>
      </c>
      <c r="S23" s="5" t="n">
        <f aca="false">IF(AND(Q23=1,R23=1),1,0)</f>
        <v>0</v>
      </c>
      <c r="T23" s="5" t="n">
        <f aca="false">IF(P23&gt;=$B$11,1,0)</f>
        <v>0</v>
      </c>
      <c r="U23" s="5" t="n">
        <f aca="false">IF(P23&gt;=$B$12,1,0)</f>
        <v>0</v>
      </c>
    </row>
    <row r="24" customFormat="false" ht="15" hidden="false" customHeight="false" outlineLevel="0" collapsed="false">
      <c r="A24" s="30" t="n">
        <v>46447</v>
      </c>
      <c r="B24" s="31" t="n">
        <f aca="false">IF(A24&lt;=$B$13,Budget!$F$67,Budget!$F$68)</f>
        <v>3723.02666666667</v>
      </c>
      <c r="C24" s="12" t="n">
        <f aca="false">IF(A24=$B$15,$B$14,0)</f>
        <v>0</v>
      </c>
      <c r="D24" s="12" t="n">
        <f aca="false">B24+C24</f>
        <v>3723.02666666667</v>
      </c>
      <c r="E24" s="12" t="n">
        <f aca="false">H23</f>
        <v>358.818834704759</v>
      </c>
      <c r="F24" s="12" t="n">
        <f aca="false">E24*$B$6/12</f>
        <v>8.89272678676626</v>
      </c>
      <c r="G24" s="12" t="n">
        <f aca="false">MIN(E24+F24,MAX(D24-K24,0))</f>
        <v>367.711561491525</v>
      </c>
      <c r="H24" s="12" t="n">
        <f aca="false">E24+F24-G24</f>
        <v>0</v>
      </c>
      <c r="I24" s="12" t="n">
        <f aca="false">M23</f>
        <v>5131.0427993352</v>
      </c>
      <c r="J24" s="12" t="n">
        <f aca="false">I24*$B$8/12</f>
        <v>74.7849488003106</v>
      </c>
      <c r="K24" s="12" t="n">
        <f aca="false">MIN(I24+J24,J24+$B$9*I24)</f>
        <v>126.095376793663</v>
      </c>
      <c r="L24" s="12" t="n">
        <f aca="false">MIN(I24+J24,D24-G24)</f>
        <v>3355.31510517514</v>
      </c>
      <c r="M24" s="12" t="n">
        <f aca="false">I24+J24-L24</f>
        <v>1850.51264296037</v>
      </c>
      <c r="N24" s="12" t="n">
        <f aca="false">P23</f>
        <v>12081</v>
      </c>
      <c r="O24" s="12" t="n">
        <f aca="false">MAX(D24-G24-L24,0)</f>
        <v>0</v>
      </c>
      <c r="P24" s="12" t="n">
        <f aca="false">N24+O24</f>
        <v>12081</v>
      </c>
      <c r="Q24" s="5" t="n">
        <f aca="false">IF(H24&lt;=0.005,1,0)</f>
        <v>1</v>
      </c>
      <c r="R24" s="5" t="n">
        <f aca="false">IF(M24&lt;=0.005,1,0)</f>
        <v>0</v>
      </c>
      <c r="S24" s="5" t="n">
        <f aca="false">IF(AND(Q24=1,R24=1),1,0)</f>
        <v>0</v>
      </c>
      <c r="T24" s="5" t="n">
        <f aca="false">IF(P24&gt;=$B$11,1,0)</f>
        <v>0</v>
      </c>
      <c r="U24" s="5" t="n">
        <f aca="false">IF(P24&gt;=$B$12,1,0)</f>
        <v>0</v>
      </c>
    </row>
    <row r="25" customFormat="false" ht="15" hidden="false" customHeight="false" outlineLevel="0" collapsed="false">
      <c r="A25" s="30" t="n">
        <v>46478</v>
      </c>
      <c r="B25" s="31" t="n">
        <f aca="false">IF(A25&lt;=$B$13,Budget!$F$67,Budget!$F$68)</f>
        <v>3723.02666666667</v>
      </c>
      <c r="C25" s="12" t="n">
        <f aca="false">IF(A25=$B$15,$B$14,0)</f>
        <v>0</v>
      </c>
      <c r="D25" s="12" t="n">
        <f aca="false">B25+C25</f>
        <v>3723.02666666667</v>
      </c>
      <c r="E25" s="12" t="n">
        <f aca="false">H24</f>
        <v>0</v>
      </c>
      <c r="F25" s="12" t="n">
        <f aca="false">E25*$B$6/12</f>
        <v>0</v>
      </c>
      <c r="G25" s="12" t="n">
        <f aca="false">MIN(E25+F25,MAX(D25-K25,0))</f>
        <v>0</v>
      </c>
      <c r="H25" s="12" t="n">
        <f aca="false">E25+F25-G25</f>
        <v>0</v>
      </c>
      <c r="I25" s="12" t="n">
        <f aca="false">M24</f>
        <v>1850.51264296037</v>
      </c>
      <c r="J25" s="12" t="n">
        <f aca="false">I25*$B$8/12</f>
        <v>26.9712217711474</v>
      </c>
      <c r="K25" s="12" t="n">
        <f aca="false">MIN(I25+J25,J25+$B$9*I25)</f>
        <v>45.4763482007511</v>
      </c>
      <c r="L25" s="12" t="n">
        <f aca="false">MIN(I25+J25,D25-G25)</f>
        <v>1877.48386473152</v>
      </c>
      <c r="M25" s="12" t="n">
        <f aca="false">I25+J25-L25</f>
        <v>0</v>
      </c>
      <c r="N25" s="12" t="n">
        <f aca="false">P24</f>
        <v>12081</v>
      </c>
      <c r="O25" s="12" t="n">
        <f aca="false">MAX(D25-G25-L25,0)</f>
        <v>1845.54280193515</v>
      </c>
      <c r="P25" s="12" t="n">
        <f aca="false">N25+O25</f>
        <v>13926.5428019352</v>
      </c>
      <c r="Q25" s="5" t="n">
        <f aca="false">IF(H25&lt;=0.005,1,0)</f>
        <v>1</v>
      </c>
      <c r="R25" s="5" t="n">
        <f aca="false">IF(M25&lt;=0.005,1,0)</f>
        <v>1</v>
      </c>
      <c r="S25" s="5" t="n">
        <f aca="false">IF(AND(Q25=1,R25=1),1,0)</f>
        <v>1</v>
      </c>
      <c r="T25" s="5" t="n">
        <f aca="false">IF(P25&gt;=$B$11,1,0)</f>
        <v>0</v>
      </c>
      <c r="U25" s="5" t="n">
        <f aca="false">IF(P25&gt;=$B$12,1,0)</f>
        <v>0</v>
      </c>
    </row>
    <row r="26" customFormat="false" ht="15" hidden="false" customHeight="false" outlineLevel="0" collapsed="false">
      <c r="A26" s="30" t="n">
        <v>46508</v>
      </c>
      <c r="B26" s="31" t="n">
        <f aca="false">IF(A26&lt;=$B$13,Budget!$F$67,Budget!$F$68)</f>
        <v>3723.02666666667</v>
      </c>
      <c r="C26" s="12" t="n">
        <f aca="false">IF(A26=$B$15,$B$14,0)</f>
        <v>0</v>
      </c>
      <c r="D26" s="12" t="n">
        <f aca="false">B26+C26</f>
        <v>3723.02666666667</v>
      </c>
      <c r="E26" s="12" t="n">
        <f aca="false">H25</f>
        <v>0</v>
      </c>
      <c r="F26" s="12" t="n">
        <f aca="false">E26*$B$6/12</f>
        <v>0</v>
      </c>
      <c r="G26" s="12" t="n">
        <f aca="false">MIN(E26+F26,MAX(D26-K26,0))</f>
        <v>0</v>
      </c>
      <c r="H26" s="12" t="n">
        <f aca="false">E26+F26-G26</f>
        <v>0</v>
      </c>
      <c r="I26" s="12" t="n">
        <f aca="false">M25</f>
        <v>0</v>
      </c>
      <c r="J26" s="12" t="n">
        <f aca="false">I26*$B$8/12</f>
        <v>0</v>
      </c>
      <c r="K26" s="12" t="n">
        <f aca="false">MIN(I26+J26,J26+$B$9*I26)</f>
        <v>0</v>
      </c>
      <c r="L26" s="12" t="n">
        <f aca="false">MIN(I26+J26,D26-G26)</f>
        <v>0</v>
      </c>
      <c r="M26" s="12" t="n">
        <f aca="false">I26+J26-L26</f>
        <v>0</v>
      </c>
      <c r="N26" s="12" t="n">
        <f aca="false">P25</f>
        <v>13926.5428019352</v>
      </c>
      <c r="O26" s="12" t="n">
        <f aca="false">MAX(D26-G26-L26,0)</f>
        <v>3723.02666666667</v>
      </c>
      <c r="P26" s="12" t="n">
        <f aca="false">N26+O26</f>
        <v>17649.5694686018</v>
      </c>
      <c r="Q26" s="5" t="n">
        <f aca="false">IF(H26&lt;=0.005,1,0)</f>
        <v>1</v>
      </c>
      <c r="R26" s="5" t="n">
        <f aca="false">IF(M26&lt;=0.005,1,0)</f>
        <v>1</v>
      </c>
      <c r="S26" s="5" t="n">
        <f aca="false">IF(AND(Q26=1,R26=1),1,0)</f>
        <v>1</v>
      </c>
      <c r="T26" s="5" t="n">
        <f aca="false">IF(P26&gt;=$B$11,1,0)</f>
        <v>0</v>
      </c>
      <c r="U26" s="5" t="n">
        <f aca="false">IF(P26&gt;=$B$12,1,0)</f>
        <v>0</v>
      </c>
    </row>
    <row r="27" customFormat="false" ht="15" hidden="false" customHeight="false" outlineLevel="0" collapsed="false">
      <c r="A27" s="30" t="n">
        <v>46539</v>
      </c>
      <c r="B27" s="31" t="n">
        <f aca="false">IF(A27&lt;=$B$13,Budget!$F$67,Budget!$F$68)</f>
        <v>3723.02666666667</v>
      </c>
      <c r="C27" s="12" t="n">
        <f aca="false">IF(A27=$B$15,$B$14,0)</f>
        <v>0</v>
      </c>
      <c r="D27" s="12" t="n">
        <f aca="false">B27+C27</f>
        <v>3723.02666666667</v>
      </c>
      <c r="E27" s="12" t="n">
        <f aca="false">H26</f>
        <v>0</v>
      </c>
      <c r="F27" s="12" t="n">
        <f aca="false">E27*$B$6/12</f>
        <v>0</v>
      </c>
      <c r="G27" s="12" t="n">
        <f aca="false">MIN(E27+F27,MAX(D27-K27,0))</f>
        <v>0</v>
      </c>
      <c r="H27" s="12" t="n">
        <f aca="false">E27+F27-G27</f>
        <v>0</v>
      </c>
      <c r="I27" s="12" t="n">
        <f aca="false">M26</f>
        <v>0</v>
      </c>
      <c r="J27" s="12" t="n">
        <f aca="false">I27*$B$8/12</f>
        <v>0</v>
      </c>
      <c r="K27" s="12" t="n">
        <f aca="false">MIN(I27+J27,J27+$B$9*I27)</f>
        <v>0</v>
      </c>
      <c r="L27" s="12" t="n">
        <f aca="false">MIN(I27+J27,D27-G27)</f>
        <v>0</v>
      </c>
      <c r="M27" s="12" t="n">
        <f aca="false">I27+J27-L27</f>
        <v>0</v>
      </c>
      <c r="N27" s="12" t="n">
        <f aca="false">P26</f>
        <v>17649.5694686018</v>
      </c>
      <c r="O27" s="12" t="n">
        <f aca="false">MAX(D27-G27-L27,0)</f>
        <v>3723.02666666667</v>
      </c>
      <c r="P27" s="12" t="n">
        <f aca="false">N27+O27</f>
        <v>21372.5961352685</v>
      </c>
      <c r="Q27" s="5" t="n">
        <f aca="false">IF(H27&lt;=0.005,1,0)</f>
        <v>1</v>
      </c>
      <c r="R27" s="5" t="n">
        <f aca="false">IF(M27&lt;=0.005,1,0)</f>
        <v>1</v>
      </c>
      <c r="S27" s="5" t="n">
        <f aca="false">IF(AND(Q27=1,R27=1),1,0)</f>
        <v>1</v>
      </c>
      <c r="T27" s="5" t="n">
        <f aca="false">IF(P27&gt;=$B$11,1,0)</f>
        <v>0</v>
      </c>
      <c r="U27" s="5" t="n">
        <f aca="false">IF(P27&gt;=$B$12,1,0)</f>
        <v>0</v>
      </c>
    </row>
    <row r="28" customFormat="false" ht="15" hidden="false" customHeight="false" outlineLevel="0" collapsed="false">
      <c r="A28" s="30" t="n">
        <v>46569</v>
      </c>
      <c r="B28" s="31" t="n">
        <f aca="false">IF(A28&lt;=$B$13,Budget!$F$67,Budget!$F$68)</f>
        <v>3723.02666666667</v>
      </c>
      <c r="C28" s="12" t="n">
        <f aca="false">IF(A28=$B$15,$B$14,0)</f>
        <v>0</v>
      </c>
      <c r="D28" s="12" t="n">
        <f aca="false">B28+C28</f>
        <v>3723.02666666667</v>
      </c>
      <c r="E28" s="12" t="n">
        <f aca="false">H27</f>
        <v>0</v>
      </c>
      <c r="F28" s="12" t="n">
        <f aca="false">E28*$B$6/12</f>
        <v>0</v>
      </c>
      <c r="G28" s="12" t="n">
        <f aca="false">MIN(E28+F28,MAX(D28-K28,0))</f>
        <v>0</v>
      </c>
      <c r="H28" s="12" t="n">
        <f aca="false">E28+F28-G28</f>
        <v>0</v>
      </c>
      <c r="I28" s="12" t="n">
        <f aca="false">M27</f>
        <v>0</v>
      </c>
      <c r="J28" s="12" t="n">
        <f aca="false">I28*$B$8/12</f>
        <v>0</v>
      </c>
      <c r="K28" s="12" t="n">
        <f aca="false">MIN(I28+J28,J28+$B$9*I28)</f>
        <v>0</v>
      </c>
      <c r="L28" s="12" t="n">
        <f aca="false">MIN(I28+J28,D28-G28)</f>
        <v>0</v>
      </c>
      <c r="M28" s="12" t="n">
        <f aca="false">I28+J28-L28</f>
        <v>0</v>
      </c>
      <c r="N28" s="12" t="n">
        <f aca="false">P27</f>
        <v>21372.5961352685</v>
      </c>
      <c r="O28" s="12" t="n">
        <f aca="false">MAX(D28-G28-L28,0)</f>
        <v>3723.02666666667</v>
      </c>
      <c r="P28" s="12" t="n">
        <f aca="false">N28+O28</f>
        <v>25095.6228019352</v>
      </c>
      <c r="Q28" s="5" t="n">
        <f aca="false">IF(H28&lt;=0.005,1,0)</f>
        <v>1</v>
      </c>
      <c r="R28" s="5" t="n">
        <f aca="false">IF(M28&lt;=0.005,1,0)</f>
        <v>1</v>
      </c>
      <c r="S28" s="5" t="n">
        <f aca="false">IF(AND(Q28=1,R28=1),1,0)</f>
        <v>1</v>
      </c>
      <c r="T28" s="5" t="n">
        <f aca="false">IF(P28&gt;=$B$11,1,0)</f>
        <v>0</v>
      </c>
      <c r="U28" s="5" t="n">
        <f aca="false">IF(P28&gt;=$B$12,1,0)</f>
        <v>0</v>
      </c>
    </row>
    <row r="29" customFormat="false" ht="15" hidden="false" customHeight="false" outlineLevel="0" collapsed="false">
      <c r="A29" s="30" t="n">
        <v>46600</v>
      </c>
      <c r="B29" s="31" t="n">
        <f aca="false">IF(A29&lt;=$B$13,Budget!$F$67,Budget!$F$68)</f>
        <v>3723.02666666667</v>
      </c>
      <c r="C29" s="12" t="n">
        <f aca="false">IF(A29=$B$15,$B$14,0)</f>
        <v>0</v>
      </c>
      <c r="D29" s="12" t="n">
        <f aca="false">B29+C29</f>
        <v>3723.02666666667</v>
      </c>
      <c r="E29" s="12" t="n">
        <f aca="false">H28</f>
        <v>0</v>
      </c>
      <c r="F29" s="12" t="n">
        <f aca="false">E29*$B$6/12</f>
        <v>0</v>
      </c>
      <c r="G29" s="12" t="n">
        <f aca="false">MIN(E29+F29,MAX(D29-K29,0))</f>
        <v>0</v>
      </c>
      <c r="H29" s="12" t="n">
        <f aca="false">E29+F29-G29</f>
        <v>0</v>
      </c>
      <c r="I29" s="12" t="n">
        <f aca="false">M28</f>
        <v>0</v>
      </c>
      <c r="J29" s="12" t="n">
        <f aca="false">I29*$B$8/12</f>
        <v>0</v>
      </c>
      <c r="K29" s="12" t="n">
        <f aca="false">MIN(I29+J29,J29+$B$9*I29)</f>
        <v>0</v>
      </c>
      <c r="L29" s="12" t="n">
        <f aca="false">MIN(I29+J29,D29-G29)</f>
        <v>0</v>
      </c>
      <c r="M29" s="12" t="n">
        <f aca="false">I29+J29-L29</f>
        <v>0</v>
      </c>
      <c r="N29" s="12" t="n">
        <f aca="false">P28</f>
        <v>25095.6228019352</v>
      </c>
      <c r="O29" s="12" t="n">
        <f aca="false">MAX(D29-G29-L29,0)</f>
        <v>3723.02666666667</v>
      </c>
      <c r="P29" s="12" t="n">
        <f aca="false">N29+O29</f>
        <v>28818.6494686018</v>
      </c>
      <c r="Q29" s="5" t="n">
        <f aca="false">IF(H29&lt;=0.005,1,0)</f>
        <v>1</v>
      </c>
      <c r="R29" s="5" t="n">
        <f aca="false">IF(M29&lt;=0.005,1,0)</f>
        <v>1</v>
      </c>
      <c r="S29" s="5" t="n">
        <f aca="false">IF(AND(Q29=1,R29=1),1,0)</f>
        <v>1</v>
      </c>
      <c r="T29" s="5" t="n">
        <f aca="false">IF(P29&gt;=$B$11,1,0)</f>
        <v>0</v>
      </c>
      <c r="U29" s="5" t="n">
        <f aca="false">IF(P29&gt;=$B$12,1,0)</f>
        <v>0</v>
      </c>
    </row>
    <row r="30" customFormat="false" ht="15" hidden="false" customHeight="false" outlineLevel="0" collapsed="false">
      <c r="A30" s="30" t="n">
        <v>46631</v>
      </c>
      <c r="B30" s="31" t="n">
        <f aca="false">IF(A30&lt;=$B$13,Budget!$F$67,Budget!$F$68)</f>
        <v>3723.02666666667</v>
      </c>
      <c r="C30" s="12" t="n">
        <f aca="false">IF(A30=$B$15,$B$14,0)</f>
        <v>0</v>
      </c>
      <c r="D30" s="12" t="n">
        <f aca="false">B30+C30</f>
        <v>3723.02666666667</v>
      </c>
      <c r="E30" s="12" t="n">
        <f aca="false">H29</f>
        <v>0</v>
      </c>
      <c r="F30" s="12" t="n">
        <f aca="false">E30*$B$6/12</f>
        <v>0</v>
      </c>
      <c r="G30" s="12" t="n">
        <f aca="false">MIN(E30+F30,MAX(D30-K30,0))</f>
        <v>0</v>
      </c>
      <c r="H30" s="12" t="n">
        <f aca="false">E30+F30-G30</f>
        <v>0</v>
      </c>
      <c r="I30" s="12" t="n">
        <f aca="false">M29</f>
        <v>0</v>
      </c>
      <c r="J30" s="12" t="n">
        <f aca="false">I30*$B$8/12</f>
        <v>0</v>
      </c>
      <c r="K30" s="12" t="n">
        <f aca="false">MIN(I30+J30,J30+$B$9*I30)</f>
        <v>0</v>
      </c>
      <c r="L30" s="12" t="n">
        <f aca="false">MIN(I30+J30,D30-G30)</f>
        <v>0</v>
      </c>
      <c r="M30" s="12" t="n">
        <f aca="false">I30+J30-L30</f>
        <v>0</v>
      </c>
      <c r="N30" s="12" t="n">
        <f aca="false">P29</f>
        <v>28818.6494686018</v>
      </c>
      <c r="O30" s="12" t="n">
        <f aca="false">MAX(D30-G30-L30,0)</f>
        <v>3723.02666666667</v>
      </c>
      <c r="P30" s="12" t="n">
        <f aca="false">N30+O30</f>
        <v>32541.6761352685</v>
      </c>
      <c r="Q30" s="5" t="n">
        <f aca="false">IF(H30&lt;=0.005,1,0)</f>
        <v>1</v>
      </c>
      <c r="R30" s="5" t="n">
        <f aca="false">IF(M30&lt;=0.005,1,0)</f>
        <v>1</v>
      </c>
      <c r="S30" s="5" t="n">
        <f aca="false">IF(AND(Q30=1,R30=1),1,0)</f>
        <v>1</v>
      </c>
      <c r="T30" s="5" t="n">
        <f aca="false">IF(P30&gt;=$B$11,1,0)</f>
        <v>1</v>
      </c>
      <c r="U30" s="5" t="n">
        <f aca="false">IF(P30&gt;=$B$12,1,0)</f>
        <v>0</v>
      </c>
    </row>
    <row r="31" customFormat="false" ht="15" hidden="false" customHeight="false" outlineLevel="0" collapsed="false">
      <c r="A31" s="30" t="n">
        <v>46661</v>
      </c>
      <c r="B31" s="31" t="n">
        <f aca="false">IF(A31&lt;=$B$13,Budget!$F$67,Budget!$F$68)</f>
        <v>3723.02666666667</v>
      </c>
      <c r="C31" s="12" t="n">
        <f aca="false">IF(A31=$B$15,$B$14,0)</f>
        <v>0</v>
      </c>
      <c r="D31" s="12" t="n">
        <f aca="false">B31+C31</f>
        <v>3723.02666666667</v>
      </c>
      <c r="E31" s="12" t="n">
        <f aca="false">H30</f>
        <v>0</v>
      </c>
      <c r="F31" s="12" t="n">
        <f aca="false">E31*$B$6/12</f>
        <v>0</v>
      </c>
      <c r="G31" s="12" t="n">
        <f aca="false">MIN(E31+F31,MAX(D31-K31,0))</f>
        <v>0</v>
      </c>
      <c r="H31" s="12" t="n">
        <f aca="false">E31+F31-G31</f>
        <v>0</v>
      </c>
      <c r="I31" s="12" t="n">
        <f aca="false">M30</f>
        <v>0</v>
      </c>
      <c r="J31" s="12" t="n">
        <f aca="false">I31*$B$8/12</f>
        <v>0</v>
      </c>
      <c r="K31" s="12" t="n">
        <f aca="false">MIN(I31+J31,J31+$B$9*I31)</f>
        <v>0</v>
      </c>
      <c r="L31" s="12" t="n">
        <f aca="false">MIN(I31+J31,D31-G31)</f>
        <v>0</v>
      </c>
      <c r="M31" s="12" t="n">
        <f aca="false">I31+J31-L31</f>
        <v>0</v>
      </c>
      <c r="N31" s="12" t="n">
        <f aca="false">P30</f>
        <v>32541.6761352685</v>
      </c>
      <c r="O31" s="12" t="n">
        <f aca="false">MAX(D31-G31-L31,0)</f>
        <v>3723.02666666667</v>
      </c>
      <c r="P31" s="12" t="n">
        <f aca="false">N31+O31</f>
        <v>36264.7028019352</v>
      </c>
      <c r="Q31" s="5" t="n">
        <f aca="false">IF(H31&lt;=0.005,1,0)</f>
        <v>1</v>
      </c>
      <c r="R31" s="5" t="n">
        <f aca="false">IF(M31&lt;=0.005,1,0)</f>
        <v>1</v>
      </c>
      <c r="S31" s="5" t="n">
        <f aca="false">IF(AND(Q31=1,R31=1),1,0)</f>
        <v>1</v>
      </c>
      <c r="T31" s="5" t="n">
        <f aca="false">IF(P31&gt;=$B$11,1,0)</f>
        <v>1</v>
      </c>
      <c r="U31" s="5" t="n">
        <f aca="false">IF(P31&gt;=$B$12,1,0)</f>
        <v>0</v>
      </c>
    </row>
    <row r="32" customFormat="false" ht="15" hidden="false" customHeight="false" outlineLevel="0" collapsed="false">
      <c r="A32" s="30" t="n">
        <v>46692</v>
      </c>
      <c r="B32" s="31" t="n">
        <f aca="false">IF(A32&lt;=$B$13,Budget!$F$67,Budget!$F$68)</f>
        <v>3723.02666666667</v>
      </c>
      <c r="C32" s="12" t="n">
        <f aca="false">IF(A32=$B$15,$B$14,0)</f>
        <v>0</v>
      </c>
      <c r="D32" s="12" t="n">
        <f aca="false">B32+C32</f>
        <v>3723.02666666667</v>
      </c>
      <c r="E32" s="12" t="n">
        <f aca="false">H31</f>
        <v>0</v>
      </c>
      <c r="F32" s="12" t="n">
        <f aca="false">E32*$B$6/12</f>
        <v>0</v>
      </c>
      <c r="G32" s="12" t="n">
        <f aca="false">MIN(E32+F32,MAX(D32-K32,0))</f>
        <v>0</v>
      </c>
      <c r="H32" s="12" t="n">
        <f aca="false">E32+F32-G32</f>
        <v>0</v>
      </c>
      <c r="I32" s="12" t="n">
        <f aca="false">M31</f>
        <v>0</v>
      </c>
      <c r="J32" s="12" t="n">
        <f aca="false">I32*$B$8/12</f>
        <v>0</v>
      </c>
      <c r="K32" s="12" t="n">
        <f aca="false">MIN(I32+J32,J32+$B$9*I32)</f>
        <v>0</v>
      </c>
      <c r="L32" s="12" t="n">
        <f aca="false">MIN(I32+J32,D32-G32)</f>
        <v>0</v>
      </c>
      <c r="M32" s="12" t="n">
        <f aca="false">I32+J32-L32</f>
        <v>0</v>
      </c>
      <c r="N32" s="12" t="n">
        <f aca="false">P31</f>
        <v>36264.7028019352</v>
      </c>
      <c r="O32" s="12" t="n">
        <f aca="false">MAX(D32-G32-L32,0)</f>
        <v>3723.02666666667</v>
      </c>
      <c r="P32" s="12" t="n">
        <f aca="false">N32+O32</f>
        <v>39987.7294686018</v>
      </c>
      <c r="Q32" s="5" t="n">
        <f aca="false">IF(H32&lt;=0.005,1,0)</f>
        <v>1</v>
      </c>
      <c r="R32" s="5" t="n">
        <f aca="false">IF(M32&lt;=0.005,1,0)</f>
        <v>1</v>
      </c>
      <c r="S32" s="5" t="n">
        <f aca="false">IF(AND(Q32=1,R32=1),1,0)</f>
        <v>1</v>
      </c>
      <c r="T32" s="5" t="n">
        <f aca="false">IF(P32&gt;=$B$11,1,0)</f>
        <v>1</v>
      </c>
      <c r="U32" s="5" t="n">
        <f aca="false">IF(P32&gt;=$B$12,1,0)</f>
        <v>0</v>
      </c>
    </row>
    <row r="33" customFormat="false" ht="15" hidden="false" customHeight="false" outlineLevel="0" collapsed="false">
      <c r="A33" s="30" t="n">
        <v>46722</v>
      </c>
      <c r="B33" s="31" t="n">
        <f aca="false">IF(A33&lt;=$B$13,Budget!$F$67,Budget!$F$68)</f>
        <v>3723.02666666667</v>
      </c>
      <c r="C33" s="12" t="n">
        <f aca="false">IF(A33=$B$15,$B$14,0)</f>
        <v>0</v>
      </c>
      <c r="D33" s="12" t="n">
        <f aca="false">B33+C33</f>
        <v>3723.02666666667</v>
      </c>
      <c r="E33" s="12" t="n">
        <f aca="false">H32</f>
        <v>0</v>
      </c>
      <c r="F33" s="12" t="n">
        <f aca="false">E33*$B$6/12</f>
        <v>0</v>
      </c>
      <c r="G33" s="12" t="n">
        <f aca="false">MIN(E33+F33,MAX(D33-K33,0))</f>
        <v>0</v>
      </c>
      <c r="H33" s="12" t="n">
        <f aca="false">E33+F33-G33</f>
        <v>0</v>
      </c>
      <c r="I33" s="12" t="n">
        <f aca="false">M32</f>
        <v>0</v>
      </c>
      <c r="J33" s="12" t="n">
        <f aca="false">I33*$B$8/12</f>
        <v>0</v>
      </c>
      <c r="K33" s="12" t="n">
        <f aca="false">MIN(I33+J33,J33+$B$9*I33)</f>
        <v>0</v>
      </c>
      <c r="L33" s="12" t="n">
        <f aca="false">MIN(I33+J33,D33-G33)</f>
        <v>0</v>
      </c>
      <c r="M33" s="12" t="n">
        <f aca="false">I33+J33-L33</f>
        <v>0</v>
      </c>
      <c r="N33" s="12" t="n">
        <f aca="false">P32</f>
        <v>39987.7294686018</v>
      </c>
      <c r="O33" s="12" t="n">
        <f aca="false">MAX(D33-G33-L33,0)</f>
        <v>3723.02666666667</v>
      </c>
      <c r="P33" s="12" t="n">
        <f aca="false">N33+O33</f>
        <v>43710.7561352685</v>
      </c>
      <c r="Q33" s="5" t="n">
        <f aca="false">IF(H33&lt;=0.005,1,0)</f>
        <v>1</v>
      </c>
      <c r="R33" s="5" t="n">
        <f aca="false">IF(M33&lt;=0.005,1,0)</f>
        <v>1</v>
      </c>
      <c r="S33" s="5" t="n">
        <f aca="false">IF(AND(Q33=1,R33=1),1,0)</f>
        <v>1</v>
      </c>
      <c r="T33" s="5" t="n">
        <f aca="false">IF(P33&gt;=$B$11,1,0)</f>
        <v>1</v>
      </c>
      <c r="U33" s="5" t="n">
        <f aca="false">IF(P33&gt;=$B$12,1,0)</f>
        <v>1</v>
      </c>
    </row>
    <row r="34" customFormat="false" ht="15" hidden="false" customHeight="false" outlineLevel="0" collapsed="false">
      <c r="A34" s="30" t="n">
        <v>46753</v>
      </c>
      <c r="B34" s="31" t="n">
        <f aca="false">IF(A34&lt;=$B$13,Budget!$F$67,Budget!$F$68)</f>
        <v>3723.02666666667</v>
      </c>
      <c r="C34" s="12" t="n">
        <f aca="false">IF(A34=$B$15,$B$14,0)</f>
        <v>0</v>
      </c>
      <c r="D34" s="12" t="n">
        <f aca="false">B34+C34</f>
        <v>3723.02666666667</v>
      </c>
      <c r="E34" s="12" t="n">
        <f aca="false">H33</f>
        <v>0</v>
      </c>
      <c r="F34" s="12" t="n">
        <f aca="false">E34*$B$6/12</f>
        <v>0</v>
      </c>
      <c r="G34" s="12" t="n">
        <f aca="false">MIN(E34+F34,MAX(D34-K34,0))</f>
        <v>0</v>
      </c>
      <c r="H34" s="12" t="n">
        <f aca="false">E34+F34-G34</f>
        <v>0</v>
      </c>
      <c r="I34" s="12" t="n">
        <f aca="false">M33</f>
        <v>0</v>
      </c>
      <c r="J34" s="12" t="n">
        <f aca="false">I34*$B$8/12</f>
        <v>0</v>
      </c>
      <c r="K34" s="12" t="n">
        <f aca="false">MIN(I34+J34,J34+$B$9*I34)</f>
        <v>0</v>
      </c>
      <c r="L34" s="12" t="n">
        <f aca="false">MIN(I34+J34,D34-G34)</f>
        <v>0</v>
      </c>
      <c r="M34" s="12" t="n">
        <f aca="false">I34+J34-L34</f>
        <v>0</v>
      </c>
      <c r="N34" s="12" t="n">
        <f aca="false">P33</f>
        <v>43710.7561352685</v>
      </c>
      <c r="O34" s="12" t="n">
        <f aca="false">MAX(D34-G34-L34,0)</f>
        <v>3723.02666666667</v>
      </c>
      <c r="P34" s="12" t="n">
        <f aca="false">N34+O34</f>
        <v>47433.7828019352</v>
      </c>
      <c r="Q34" s="5" t="n">
        <f aca="false">IF(H34&lt;=0.005,1,0)</f>
        <v>1</v>
      </c>
      <c r="R34" s="5" t="n">
        <f aca="false">IF(M34&lt;=0.005,1,0)</f>
        <v>1</v>
      </c>
      <c r="S34" s="5" t="n">
        <f aca="false">IF(AND(Q34=1,R34=1),1,0)</f>
        <v>1</v>
      </c>
      <c r="T34" s="5" t="n">
        <f aca="false">IF(P34&gt;=$B$11,1,0)</f>
        <v>1</v>
      </c>
      <c r="U34" s="5" t="n">
        <f aca="false">IF(P34&gt;=$B$12,1,0)</f>
        <v>1</v>
      </c>
    </row>
    <row r="35" customFormat="false" ht="15" hidden="false" customHeight="false" outlineLevel="0" collapsed="false">
      <c r="A35" s="30" t="n">
        <v>46784</v>
      </c>
      <c r="B35" s="31" t="n">
        <f aca="false">IF(A35&lt;=$B$13,Budget!$F$67,Budget!$F$68)</f>
        <v>3723.02666666667</v>
      </c>
      <c r="C35" s="12" t="n">
        <f aca="false">IF(A35=$B$15,$B$14,0)</f>
        <v>0</v>
      </c>
      <c r="D35" s="12" t="n">
        <f aca="false">B35+C35</f>
        <v>3723.02666666667</v>
      </c>
      <c r="E35" s="12" t="n">
        <f aca="false">H34</f>
        <v>0</v>
      </c>
      <c r="F35" s="12" t="n">
        <f aca="false">E35*$B$6/12</f>
        <v>0</v>
      </c>
      <c r="G35" s="12" t="n">
        <f aca="false">MIN(E35+F35,MAX(D35-K35,0))</f>
        <v>0</v>
      </c>
      <c r="H35" s="12" t="n">
        <f aca="false">E35+F35-G35</f>
        <v>0</v>
      </c>
      <c r="I35" s="12" t="n">
        <f aca="false">M34</f>
        <v>0</v>
      </c>
      <c r="J35" s="12" t="n">
        <f aca="false">I35*$B$8/12</f>
        <v>0</v>
      </c>
      <c r="K35" s="12" t="n">
        <f aca="false">MIN(I35+J35,J35+$B$9*I35)</f>
        <v>0</v>
      </c>
      <c r="L35" s="12" t="n">
        <f aca="false">MIN(I35+J35,D35-G35)</f>
        <v>0</v>
      </c>
      <c r="M35" s="12" t="n">
        <f aca="false">I35+J35-L35</f>
        <v>0</v>
      </c>
      <c r="N35" s="12" t="n">
        <f aca="false">P34</f>
        <v>47433.7828019352</v>
      </c>
      <c r="O35" s="12" t="n">
        <f aca="false">MAX(D35-G35-L35,0)</f>
        <v>3723.02666666667</v>
      </c>
      <c r="P35" s="12" t="n">
        <f aca="false">N35+O35</f>
        <v>51156.8094686018</v>
      </c>
      <c r="Q35" s="5" t="n">
        <f aca="false">IF(H35&lt;=0.005,1,0)</f>
        <v>1</v>
      </c>
      <c r="R35" s="5" t="n">
        <f aca="false">IF(M35&lt;=0.005,1,0)</f>
        <v>1</v>
      </c>
      <c r="S35" s="5" t="n">
        <f aca="false">IF(AND(Q35=1,R35=1),1,0)</f>
        <v>1</v>
      </c>
      <c r="T35" s="5" t="n">
        <f aca="false">IF(P35&gt;=$B$11,1,0)</f>
        <v>1</v>
      </c>
      <c r="U35" s="5" t="n">
        <f aca="false">IF(P35&gt;=$B$12,1,0)</f>
        <v>1</v>
      </c>
    </row>
    <row r="36" customFormat="false" ht="15" hidden="false" customHeight="false" outlineLevel="0" collapsed="false">
      <c r="A36" s="30" t="n">
        <v>46813</v>
      </c>
      <c r="B36" s="31" t="n">
        <f aca="false">IF(A36&lt;=$B$13,Budget!$F$67,Budget!$F$68)</f>
        <v>3723.02666666667</v>
      </c>
      <c r="C36" s="12" t="n">
        <f aca="false">IF(A36=$B$15,$B$14,0)</f>
        <v>0</v>
      </c>
      <c r="D36" s="12" t="n">
        <f aca="false">B36+C36</f>
        <v>3723.02666666667</v>
      </c>
      <c r="E36" s="12" t="n">
        <f aca="false">H35</f>
        <v>0</v>
      </c>
      <c r="F36" s="12" t="n">
        <f aca="false">E36*$B$6/12</f>
        <v>0</v>
      </c>
      <c r="G36" s="12" t="n">
        <f aca="false">MIN(E36+F36,MAX(D36-K36,0))</f>
        <v>0</v>
      </c>
      <c r="H36" s="12" t="n">
        <f aca="false">E36+F36-G36</f>
        <v>0</v>
      </c>
      <c r="I36" s="12" t="n">
        <f aca="false">M35</f>
        <v>0</v>
      </c>
      <c r="J36" s="12" t="n">
        <f aca="false">I36*$B$8/12</f>
        <v>0</v>
      </c>
      <c r="K36" s="12" t="n">
        <f aca="false">MIN(I36+J36,J36+$B$9*I36)</f>
        <v>0</v>
      </c>
      <c r="L36" s="12" t="n">
        <f aca="false">MIN(I36+J36,D36-G36)</f>
        <v>0</v>
      </c>
      <c r="M36" s="12" t="n">
        <f aca="false">I36+J36-L36</f>
        <v>0</v>
      </c>
      <c r="N36" s="12" t="n">
        <f aca="false">P35</f>
        <v>51156.8094686018</v>
      </c>
      <c r="O36" s="12" t="n">
        <f aca="false">MAX(D36-G36-L36,0)</f>
        <v>3723.02666666667</v>
      </c>
      <c r="P36" s="12" t="n">
        <f aca="false">N36+O36</f>
        <v>54879.8361352685</v>
      </c>
      <c r="Q36" s="5" t="n">
        <f aca="false">IF(H36&lt;=0.005,1,0)</f>
        <v>1</v>
      </c>
      <c r="R36" s="5" t="n">
        <f aca="false">IF(M36&lt;=0.005,1,0)</f>
        <v>1</v>
      </c>
      <c r="S36" s="5" t="n">
        <f aca="false">IF(AND(Q36=1,R36=1),1,0)</f>
        <v>1</v>
      </c>
      <c r="T36" s="5" t="n">
        <f aca="false">IF(P36&gt;=$B$11,1,0)</f>
        <v>1</v>
      </c>
      <c r="U36" s="5" t="n">
        <f aca="false">IF(P36&gt;=$B$12,1,0)</f>
        <v>1</v>
      </c>
    </row>
    <row r="37" customFormat="false" ht="15" hidden="false" customHeight="false" outlineLevel="0" collapsed="false">
      <c r="A37" s="30" t="n">
        <v>46844</v>
      </c>
      <c r="B37" s="31" t="n">
        <f aca="false">IF(A37&lt;=$B$13,Budget!$F$67,Budget!$F$68)</f>
        <v>3723.02666666667</v>
      </c>
      <c r="C37" s="12" t="n">
        <f aca="false">IF(A37=$B$15,$B$14,0)</f>
        <v>0</v>
      </c>
      <c r="D37" s="12" t="n">
        <f aca="false">B37+C37</f>
        <v>3723.02666666667</v>
      </c>
      <c r="E37" s="12" t="n">
        <f aca="false">H36</f>
        <v>0</v>
      </c>
      <c r="F37" s="12" t="n">
        <f aca="false">E37*$B$6/12</f>
        <v>0</v>
      </c>
      <c r="G37" s="12" t="n">
        <f aca="false">MIN(E37+F37,MAX(D37-K37,0))</f>
        <v>0</v>
      </c>
      <c r="H37" s="12" t="n">
        <f aca="false">E37+F37-G37</f>
        <v>0</v>
      </c>
      <c r="I37" s="12" t="n">
        <f aca="false">M36</f>
        <v>0</v>
      </c>
      <c r="J37" s="12" t="n">
        <f aca="false">I37*$B$8/12</f>
        <v>0</v>
      </c>
      <c r="K37" s="12" t="n">
        <f aca="false">MIN(I37+J37,J37+$B$9*I37)</f>
        <v>0</v>
      </c>
      <c r="L37" s="12" t="n">
        <f aca="false">MIN(I37+J37,D37-G37)</f>
        <v>0</v>
      </c>
      <c r="M37" s="12" t="n">
        <f aca="false">I37+J37-L37</f>
        <v>0</v>
      </c>
      <c r="N37" s="12" t="n">
        <f aca="false">P36</f>
        <v>54879.8361352685</v>
      </c>
      <c r="O37" s="12" t="n">
        <f aca="false">MAX(D37-G37-L37,0)</f>
        <v>3723.02666666667</v>
      </c>
      <c r="P37" s="12" t="n">
        <f aca="false">N37+O37</f>
        <v>58602.8628019352</v>
      </c>
      <c r="Q37" s="5" t="n">
        <f aca="false">IF(H37&lt;=0.005,1,0)</f>
        <v>1</v>
      </c>
      <c r="R37" s="5" t="n">
        <f aca="false">IF(M37&lt;=0.005,1,0)</f>
        <v>1</v>
      </c>
      <c r="S37" s="5" t="n">
        <f aca="false">IF(AND(Q37=1,R37=1),1,0)</f>
        <v>1</v>
      </c>
      <c r="T37" s="5" t="n">
        <f aca="false">IF(P37&gt;=$B$11,1,0)</f>
        <v>1</v>
      </c>
      <c r="U37" s="5" t="n">
        <f aca="false">IF(P37&gt;=$B$12,1,0)</f>
        <v>1</v>
      </c>
    </row>
    <row r="38" customFormat="false" ht="15" hidden="false" customHeight="false" outlineLevel="0" collapsed="false">
      <c r="A38" s="30" t="n">
        <v>46874</v>
      </c>
      <c r="B38" s="31" t="n">
        <f aca="false">IF(A38&lt;=$B$13,Budget!$F$67,Budget!$F$68)</f>
        <v>3723.02666666667</v>
      </c>
      <c r="C38" s="12" t="n">
        <f aca="false">IF(A38=$B$15,$B$14,0)</f>
        <v>0</v>
      </c>
      <c r="D38" s="12" t="n">
        <f aca="false">B38+C38</f>
        <v>3723.02666666667</v>
      </c>
      <c r="E38" s="12" t="n">
        <f aca="false">H37</f>
        <v>0</v>
      </c>
      <c r="F38" s="12" t="n">
        <f aca="false">E38*$B$6/12</f>
        <v>0</v>
      </c>
      <c r="G38" s="12" t="n">
        <f aca="false">MIN(E38+F38,MAX(D38-K38,0))</f>
        <v>0</v>
      </c>
      <c r="H38" s="12" t="n">
        <f aca="false">E38+F38-G38</f>
        <v>0</v>
      </c>
      <c r="I38" s="12" t="n">
        <f aca="false">M37</f>
        <v>0</v>
      </c>
      <c r="J38" s="12" t="n">
        <f aca="false">I38*$B$8/12</f>
        <v>0</v>
      </c>
      <c r="K38" s="12" t="n">
        <f aca="false">MIN(I38+J38,J38+$B$9*I38)</f>
        <v>0</v>
      </c>
      <c r="L38" s="12" t="n">
        <f aca="false">MIN(I38+J38,D38-G38)</f>
        <v>0</v>
      </c>
      <c r="M38" s="12" t="n">
        <f aca="false">I38+J38-L38</f>
        <v>0</v>
      </c>
      <c r="N38" s="12" t="n">
        <f aca="false">P37</f>
        <v>58602.8628019352</v>
      </c>
      <c r="O38" s="12" t="n">
        <f aca="false">MAX(D38-G38-L38,0)</f>
        <v>3723.02666666667</v>
      </c>
      <c r="P38" s="12" t="n">
        <f aca="false">N38+O38</f>
        <v>62325.8894686019</v>
      </c>
      <c r="Q38" s="5" t="n">
        <f aca="false">IF(H38&lt;=0.005,1,0)</f>
        <v>1</v>
      </c>
      <c r="R38" s="5" t="n">
        <f aca="false">IF(M38&lt;=0.005,1,0)</f>
        <v>1</v>
      </c>
      <c r="S38" s="5" t="n">
        <f aca="false">IF(AND(Q38=1,R38=1),1,0)</f>
        <v>1</v>
      </c>
      <c r="T38" s="5" t="n">
        <f aca="false">IF(P38&gt;=$B$11,1,0)</f>
        <v>1</v>
      </c>
      <c r="U38" s="5" t="n">
        <f aca="false">IF(P38&gt;=$B$12,1,0)</f>
        <v>1</v>
      </c>
    </row>
    <row r="39" customFormat="false" ht="15" hidden="false" customHeight="false" outlineLevel="0" collapsed="false">
      <c r="A39" s="30" t="n">
        <v>46905</v>
      </c>
      <c r="B39" s="31" t="n">
        <f aca="false">IF(A39&lt;=$B$13,Budget!$F$67,Budget!$F$68)</f>
        <v>3723.02666666667</v>
      </c>
      <c r="C39" s="12" t="n">
        <f aca="false">IF(A39=$B$15,$B$14,0)</f>
        <v>0</v>
      </c>
      <c r="D39" s="12" t="n">
        <f aca="false">B39+C39</f>
        <v>3723.02666666667</v>
      </c>
      <c r="E39" s="12" t="n">
        <f aca="false">H38</f>
        <v>0</v>
      </c>
      <c r="F39" s="12" t="n">
        <f aca="false">E39*$B$6/12</f>
        <v>0</v>
      </c>
      <c r="G39" s="12" t="n">
        <f aca="false">MIN(E39+F39,MAX(D39-K39,0))</f>
        <v>0</v>
      </c>
      <c r="H39" s="12" t="n">
        <f aca="false">E39+F39-G39</f>
        <v>0</v>
      </c>
      <c r="I39" s="12" t="n">
        <f aca="false">M38</f>
        <v>0</v>
      </c>
      <c r="J39" s="12" t="n">
        <f aca="false">I39*$B$8/12</f>
        <v>0</v>
      </c>
      <c r="K39" s="12" t="n">
        <f aca="false">MIN(I39+J39,J39+$B$9*I39)</f>
        <v>0</v>
      </c>
      <c r="L39" s="12" t="n">
        <f aca="false">MIN(I39+J39,D39-G39)</f>
        <v>0</v>
      </c>
      <c r="M39" s="12" t="n">
        <f aca="false">I39+J39-L39</f>
        <v>0</v>
      </c>
      <c r="N39" s="12" t="n">
        <f aca="false">P38</f>
        <v>62325.8894686019</v>
      </c>
      <c r="O39" s="12" t="n">
        <f aca="false">MAX(D39-G39-L39,0)</f>
        <v>3723.02666666667</v>
      </c>
      <c r="P39" s="12" t="n">
        <f aca="false">N39+O39</f>
        <v>66048.9161352685</v>
      </c>
      <c r="Q39" s="5" t="n">
        <f aca="false">IF(H39&lt;=0.005,1,0)</f>
        <v>1</v>
      </c>
      <c r="R39" s="5" t="n">
        <f aca="false">IF(M39&lt;=0.005,1,0)</f>
        <v>1</v>
      </c>
      <c r="S39" s="5" t="n">
        <f aca="false">IF(AND(Q39=1,R39=1),1,0)</f>
        <v>1</v>
      </c>
      <c r="T39" s="5" t="n">
        <f aca="false">IF(P39&gt;=$B$11,1,0)</f>
        <v>1</v>
      </c>
      <c r="U39" s="5" t="n">
        <f aca="false">IF(P39&gt;=$B$12,1,0)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27.75" hidden="false" customHeight="true" outlineLevel="0" collapsed="false">
      <c r="A4" s="10" t="s">
        <v>13</v>
      </c>
      <c r="B4" s="10" t="s">
        <v>191</v>
      </c>
      <c r="C4" s="10" t="s">
        <v>192</v>
      </c>
      <c r="D4" s="10" t="s">
        <v>193</v>
      </c>
      <c r="E4" s="10" t="s">
        <v>194</v>
      </c>
      <c r="F4" s="10" t="s">
        <v>195</v>
      </c>
      <c r="G4" s="10" t="s">
        <v>196</v>
      </c>
      <c r="H4" s="10" t="s">
        <v>197</v>
      </c>
      <c r="I4" s="10" t="s">
        <v>198</v>
      </c>
      <c r="J4" s="10" t="s">
        <v>199</v>
      </c>
      <c r="K4" s="10" t="s">
        <v>200</v>
      </c>
      <c r="L4" s="10" t="s">
        <v>201</v>
      </c>
      <c r="M4" s="10" t="s">
        <v>202</v>
      </c>
      <c r="N4" s="10" t="s">
        <v>203</v>
      </c>
    </row>
    <row r="5" customFormat="false" ht="15" hidden="false" customHeight="false" outlineLevel="0" collapsed="false">
      <c r="A5" s="3" t="s">
        <v>204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205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206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207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208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209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210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211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212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213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214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208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215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216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217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30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218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219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220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221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222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223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224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225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226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227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228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229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230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231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232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233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234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235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236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237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238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69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239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73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240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241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242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243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244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245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246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247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248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249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250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208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251</v>
      </c>
      <c r="B61" s="25" t="n">
        <f aca="false">B17+B59</f>
        <v>24684.05</v>
      </c>
      <c r="C61" s="25" t="n">
        <f aca="false">C17+C59</f>
        <v>27719.87</v>
      </c>
      <c r="D61" s="25" t="n">
        <f aca="false">D17+D59</f>
        <v>56439.39</v>
      </c>
      <c r="E61" s="25" t="n">
        <f aca="false">E17+E59</f>
        <v>22907.78</v>
      </c>
      <c r="F61" s="25" t="n">
        <f aca="false">F17+F59</f>
        <v>44473.94</v>
      </c>
      <c r="G61" s="25" t="n">
        <f aca="false">G17+G59</f>
        <v>26238.9</v>
      </c>
      <c r="H61" s="25" t="n">
        <f aca="false">H17+H59</f>
        <v>32051.74</v>
      </c>
      <c r="I61" s="25" t="n">
        <f aca="false">I17+I59</f>
        <v>22904.52</v>
      </c>
      <c r="J61" s="25" t="n">
        <f aca="false">J17+J59</f>
        <v>25351.77</v>
      </c>
      <c r="K61" s="25" t="n">
        <f aca="false">K17+K59</f>
        <v>14323.55</v>
      </c>
      <c r="L61" s="25" t="n">
        <f aca="false">L17+L59</f>
        <v>282771.96</v>
      </c>
      <c r="M61" s="25" t="n">
        <f aca="false">M17+M59</f>
        <v>31419.1066666667</v>
      </c>
      <c r="N61" s="25" t="n">
        <f aca="false">N17+N59</f>
        <v>26769.3433333333</v>
      </c>
    </row>
    <row r="62" customFormat="false" ht="15" hidden="false" customHeight="false" outlineLevel="0" collapsed="false">
      <c r="A62" s="8" t="s">
        <v>252</v>
      </c>
      <c r="B62" s="25" t="n">
        <f aca="false">B9</f>
        <v>25637.38</v>
      </c>
      <c r="C62" s="25" t="n">
        <f aca="false">C9</f>
        <v>27081.19</v>
      </c>
      <c r="D62" s="25" t="n">
        <f aca="false">D9</f>
        <v>63061.87</v>
      </c>
      <c r="E62" s="25" t="n">
        <f aca="false">E9</f>
        <v>50339.13</v>
      </c>
      <c r="F62" s="25" t="n">
        <f aca="false">F9</f>
        <v>27082.05</v>
      </c>
      <c r="G62" s="25" t="n">
        <f aca="false">G9</f>
        <v>25881.6</v>
      </c>
      <c r="H62" s="25" t="n">
        <f aca="false">H9</f>
        <v>27427.38</v>
      </c>
      <c r="I62" s="25" t="n">
        <f aca="false">I9</f>
        <v>25986.74</v>
      </c>
      <c r="J62" s="25" t="n">
        <f aca="false">J9</f>
        <v>27979.39</v>
      </c>
      <c r="K62" s="25" t="n">
        <f aca="false">K9</f>
        <v>2362.27</v>
      </c>
      <c r="L62" s="25" t="n">
        <f aca="false">L9</f>
        <v>300476.73</v>
      </c>
      <c r="M62" s="25" t="n">
        <f aca="false">M9</f>
        <v>33386.3033333333</v>
      </c>
      <c r="N62" s="25" t="n">
        <f aca="false">N9</f>
        <v>27131.17</v>
      </c>
    </row>
    <row r="63" customFormat="false" ht="15" hidden="false" customHeight="false" outlineLevel="0" collapsed="false">
      <c r="A63" s="8" t="s">
        <v>253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254</v>
      </c>
    </row>
    <row r="2" customFormat="false" ht="15" hidden="false" customHeight="false" outlineLevel="0" collapsed="false">
      <c r="A2" s="2" t="s">
        <v>255</v>
      </c>
    </row>
    <row r="4" customFormat="false" ht="27.75" hidden="false" customHeight="true" outlineLevel="0" collapsed="false">
      <c r="A4" s="10" t="s">
        <v>256</v>
      </c>
      <c r="B4" s="10" t="s">
        <v>257</v>
      </c>
      <c r="C4" s="10" t="s">
        <v>258</v>
      </c>
      <c r="D4" s="10" t="s">
        <v>259</v>
      </c>
      <c r="E4" s="10" t="s">
        <v>260</v>
      </c>
      <c r="F4" s="10" t="s">
        <v>261</v>
      </c>
      <c r="G4" s="10" t="s">
        <v>262</v>
      </c>
      <c r="H4" s="10" t="s">
        <v>20</v>
      </c>
    </row>
    <row r="5" customFormat="false" ht="15" hidden="false" customHeight="false" outlineLevel="0" collapsed="false">
      <c r="A5" s="5" t="s">
        <v>263</v>
      </c>
      <c r="B5" s="5" t="s">
        <v>264</v>
      </c>
      <c r="C5" s="6" t="n">
        <v>72.97</v>
      </c>
      <c r="D5" s="12" t="n">
        <f aca="false">IF(B5="Monthly",C5*12,IF(B5="Semiannual",C5*2,C5))</f>
        <v>875.64</v>
      </c>
      <c r="E5" s="32" t="s">
        <v>265</v>
      </c>
      <c r="F5" s="12" t="n">
        <f aca="false">IF(E5="Cut",D5,0)</f>
        <v>875.64</v>
      </c>
      <c r="G5" s="5" t="s">
        <v>266</v>
      </c>
      <c r="H5" s="2" t="s">
        <v>267</v>
      </c>
    </row>
    <row r="6" customFormat="false" ht="15" hidden="false" customHeight="false" outlineLevel="0" collapsed="false">
      <c r="A6" s="5" t="s">
        <v>268</v>
      </c>
      <c r="B6" s="5" t="s">
        <v>264</v>
      </c>
      <c r="C6" s="6" t="n">
        <v>82.99</v>
      </c>
      <c r="D6" s="12" t="n">
        <f aca="false">IF(B6="Monthly",C6*12,IF(B6="Semiannual",C6*2,C6))</f>
        <v>995.88</v>
      </c>
      <c r="E6" s="32" t="s">
        <v>269</v>
      </c>
      <c r="F6" s="12" t="n">
        <f aca="false">IF(E6="Cut",D6,0)</f>
        <v>0</v>
      </c>
      <c r="G6" s="5" t="s">
        <v>270</v>
      </c>
      <c r="H6" s="2" t="s">
        <v>271</v>
      </c>
    </row>
    <row r="7" customFormat="false" ht="15" hidden="false" customHeight="false" outlineLevel="0" collapsed="false">
      <c r="A7" s="5" t="s">
        <v>272</v>
      </c>
      <c r="B7" s="5" t="s">
        <v>264</v>
      </c>
      <c r="C7" s="6" t="n">
        <v>26.99</v>
      </c>
      <c r="D7" s="12" t="n">
        <f aca="false">IF(B7="Monthly",C7*12,IF(B7="Semiannual",C7*2,C7))</f>
        <v>323.88</v>
      </c>
      <c r="E7" s="32" t="s">
        <v>273</v>
      </c>
      <c r="F7" s="12" t="n">
        <f aca="false">IF(E7="Cut",D7,0)</f>
        <v>0</v>
      </c>
      <c r="G7" s="5" t="s">
        <v>274</v>
      </c>
      <c r="H7" s="2"/>
    </row>
    <row r="8" customFormat="false" ht="15" hidden="false" customHeight="false" outlineLevel="0" collapsed="false">
      <c r="A8" s="5" t="s">
        <v>275</v>
      </c>
      <c r="B8" s="5" t="s">
        <v>264</v>
      </c>
      <c r="C8" s="6" t="n">
        <v>18.99</v>
      </c>
      <c r="D8" s="12" t="n">
        <f aca="false">IF(B8="Monthly",C8*12,IF(B8="Semiannual",C8*2,C8))</f>
        <v>227.88</v>
      </c>
      <c r="E8" s="32" t="s">
        <v>269</v>
      </c>
      <c r="F8" s="12" t="n">
        <f aca="false">IF(E8="Cut",D8,0)</f>
        <v>0</v>
      </c>
      <c r="G8" s="5" t="s">
        <v>276</v>
      </c>
      <c r="H8" s="2" t="s">
        <v>277</v>
      </c>
    </row>
    <row r="9" customFormat="false" ht="15" hidden="false" customHeight="false" outlineLevel="0" collapsed="false">
      <c r="A9" s="5" t="s">
        <v>278</v>
      </c>
      <c r="B9" s="5" t="s">
        <v>264</v>
      </c>
      <c r="C9" s="6" t="n">
        <v>12.99</v>
      </c>
      <c r="D9" s="12" t="n">
        <f aca="false">IF(B9="Monthly",C9*12,IF(B9="Semiannual",C9*2,C9))</f>
        <v>155.88</v>
      </c>
      <c r="E9" s="32" t="s">
        <v>273</v>
      </c>
      <c r="F9" s="12" t="n">
        <f aca="false">IF(E9="Cut",D9,0)</f>
        <v>0</v>
      </c>
      <c r="G9" s="5" t="s">
        <v>279</v>
      </c>
      <c r="H9" s="2"/>
    </row>
    <row r="10" customFormat="false" ht="15" hidden="false" customHeight="false" outlineLevel="0" collapsed="false">
      <c r="A10" s="5" t="s">
        <v>280</v>
      </c>
      <c r="B10" s="5" t="s">
        <v>281</v>
      </c>
      <c r="C10" s="6" t="n">
        <v>139</v>
      </c>
      <c r="D10" s="12" t="n">
        <f aca="false">IF(B10="Monthly",C10*12,IF(B10="Semiannual",C10*2,C10))</f>
        <v>139</v>
      </c>
      <c r="E10" s="32" t="s">
        <v>273</v>
      </c>
      <c r="F10" s="12" t="n">
        <f aca="false">IF(E10="Cut",D10,0)</f>
        <v>0</v>
      </c>
      <c r="G10" s="5" t="s">
        <v>282</v>
      </c>
      <c r="H10" s="2" t="s">
        <v>283</v>
      </c>
    </row>
    <row r="11" customFormat="false" ht="15" hidden="false" customHeight="false" outlineLevel="0" collapsed="false">
      <c r="A11" s="5" t="s">
        <v>284</v>
      </c>
      <c r="B11" s="5" t="s">
        <v>264</v>
      </c>
      <c r="C11" s="6" t="n">
        <v>4.99</v>
      </c>
      <c r="D11" s="12" t="n">
        <f aca="false">IF(B11="Monthly",C11*12,IF(B11="Semiannual",C11*2,C11))</f>
        <v>59.88</v>
      </c>
      <c r="E11" s="32" t="s">
        <v>269</v>
      </c>
      <c r="F11" s="12" t="n">
        <f aca="false">IF(E11="Cut",D11,0)</f>
        <v>0</v>
      </c>
      <c r="G11" s="5" t="s">
        <v>285</v>
      </c>
      <c r="H11" s="2" t="s">
        <v>286</v>
      </c>
    </row>
    <row r="12" customFormat="false" ht="15" hidden="false" customHeight="false" outlineLevel="0" collapsed="false">
      <c r="A12" s="5" t="s">
        <v>287</v>
      </c>
      <c r="B12" s="5" t="s">
        <v>264</v>
      </c>
      <c r="C12" s="6" t="n">
        <v>6.36</v>
      </c>
      <c r="D12" s="12" t="n">
        <f aca="false">IF(B12="Monthly",C12*12,IF(B12="Semiannual",C12*2,C12))</f>
        <v>76.32</v>
      </c>
      <c r="E12" s="32" t="s">
        <v>269</v>
      </c>
      <c r="F12" s="12" t="n">
        <f aca="false">IF(E12="Cut",D12,0)</f>
        <v>0</v>
      </c>
      <c r="G12" s="5" t="s">
        <v>285</v>
      </c>
      <c r="H12" s="2" t="s">
        <v>288</v>
      </c>
    </row>
    <row r="13" customFormat="false" ht="15" hidden="false" customHeight="false" outlineLevel="0" collapsed="false">
      <c r="A13" s="5" t="s">
        <v>289</v>
      </c>
      <c r="B13" s="5" t="s">
        <v>264</v>
      </c>
      <c r="C13" s="6" t="n">
        <v>11.99</v>
      </c>
      <c r="D13" s="12" t="n">
        <f aca="false">IF(B13="Monthly",C13*12,IF(B13="Semiannual",C13*2,C13))</f>
        <v>143.88</v>
      </c>
      <c r="E13" s="32" t="s">
        <v>269</v>
      </c>
      <c r="F13" s="12" t="n">
        <f aca="false">IF(E13="Cut",D13,0)</f>
        <v>0</v>
      </c>
      <c r="G13" s="5" t="s">
        <v>290</v>
      </c>
      <c r="H13" s="2" t="s">
        <v>291</v>
      </c>
    </row>
    <row r="14" customFormat="false" ht="15" hidden="false" customHeight="false" outlineLevel="0" collapsed="false">
      <c r="A14" s="5" t="s">
        <v>292</v>
      </c>
      <c r="B14" s="5" t="s">
        <v>264</v>
      </c>
      <c r="C14" s="6" t="n">
        <v>8.99</v>
      </c>
      <c r="D14" s="12" t="n">
        <f aca="false">IF(B14="Monthly",C14*12,IF(B14="Semiannual",C14*2,C14))</f>
        <v>107.88</v>
      </c>
      <c r="E14" s="32" t="s">
        <v>269</v>
      </c>
      <c r="F14" s="12" t="n">
        <f aca="false">IF(E14="Cut",D14,0)</f>
        <v>0</v>
      </c>
      <c r="G14" s="5" t="s">
        <v>293</v>
      </c>
      <c r="H14" s="2" t="s">
        <v>294</v>
      </c>
    </row>
    <row r="15" customFormat="false" ht="15" hidden="false" customHeight="false" outlineLevel="0" collapsed="false">
      <c r="A15" s="5" t="s">
        <v>295</v>
      </c>
      <c r="B15" s="5" t="s">
        <v>264</v>
      </c>
      <c r="C15" s="6" t="n">
        <v>25</v>
      </c>
      <c r="D15" s="12" t="n">
        <f aca="false">IF(B15="Monthly",C15*12,IF(B15="Semiannual",C15*2,C15))</f>
        <v>300</v>
      </c>
      <c r="E15" s="32" t="s">
        <v>269</v>
      </c>
      <c r="F15" s="12" t="n">
        <f aca="false">IF(E15="Cut",D15,0)</f>
        <v>0</v>
      </c>
      <c r="G15" s="5" t="s">
        <v>266</v>
      </c>
      <c r="H15" s="2" t="s">
        <v>296</v>
      </c>
    </row>
    <row r="16" customFormat="false" ht="15" hidden="false" customHeight="false" outlineLevel="0" collapsed="false">
      <c r="A16" s="5" t="s">
        <v>297</v>
      </c>
      <c r="B16" s="5" t="s">
        <v>264</v>
      </c>
      <c r="C16" s="6" t="n">
        <v>27.72</v>
      </c>
      <c r="D16" s="12" t="n">
        <f aca="false">IF(B16="Monthly",C16*12,IF(B16="Semiannual",C16*2,C16))</f>
        <v>332.64</v>
      </c>
      <c r="E16" s="32" t="s">
        <v>269</v>
      </c>
      <c r="F16" s="12" t="n">
        <f aca="false">IF(E16="Cut",D16,0)</f>
        <v>0</v>
      </c>
      <c r="G16" s="5" t="s">
        <v>285</v>
      </c>
      <c r="H16" s="2" t="s">
        <v>298</v>
      </c>
    </row>
    <row r="17" customFormat="false" ht="15" hidden="false" customHeight="false" outlineLevel="0" collapsed="false">
      <c r="A17" s="5" t="s">
        <v>299</v>
      </c>
      <c r="B17" s="5" t="s">
        <v>281</v>
      </c>
      <c r="C17" s="6" t="n">
        <v>99.99</v>
      </c>
      <c r="D17" s="12" t="n">
        <f aca="false">IF(B17="Monthly",C17*12,IF(B17="Semiannual",C17*2,C17))</f>
        <v>99.99</v>
      </c>
      <c r="E17" s="32" t="s">
        <v>269</v>
      </c>
      <c r="F17" s="12" t="n">
        <f aca="false">IF(E17="Cut",D17,0)</f>
        <v>0</v>
      </c>
      <c r="G17" s="5" t="s">
        <v>300</v>
      </c>
      <c r="H17" s="2"/>
    </row>
    <row r="18" customFormat="false" ht="15" hidden="false" customHeight="false" outlineLevel="0" collapsed="false">
      <c r="A18" s="5" t="s">
        <v>301</v>
      </c>
      <c r="B18" s="5" t="s">
        <v>281</v>
      </c>
      <c r="C18" s="6" t="n">
        <v>150</v>
      </c>
      <c r="D18" s="12" t="n">
        <f aca="false">IF(B18="Monthly",C18*12,IF(B18="Semiannual",C18*2,C18))</f>
        <v>150</v>
      </c>
      <c r="E18" s="32" t="s">
        <v>269</v>
      </c>
      <c r="F18" s="12" t="n">
        <f aca="false">IF(E18="Cut",D18,0)</f>
        <v>0</v>
      </c>
      <c r="G18" s="5" t="s">
        <v>302</v>
      </c>
      <c r="H18" s="2"/>
    </row>
    <row r="19" customFormat="false" ht="15" hidden="false" customHeight="false" outlineLevel="0" collapsed="false">
      <c r="A19" s="5" t="s">
        <v>303</v>
      </c>
      <c r="B19" s="5" t="s">
        <v>264</v>
      </c>
      <c r="C19" s="6" t="n">
        <v>20.7</v>
      </c>
      <c r="D19" s="12" t="n">
        <f aca="false">IF(B19="Monthly",C19*12,IF(B19="Semiannual",C19*2,C19))</f>
        <v>248.4</v>
      </c>
      <c r="E19" s="32" t="s">
        <v>273</v>
      </c>
      <c r="F19" s="12" t="n">
        <f aca="false">IF(E19="Cut",D19,0)</f>
        <v>0</v>
      </c>
      <c r="G19" s="5" t="s">
        <v>290</v>
      </c>
      <c r="H19" s="2" t="s">
        <v>304</v>
      </c>
    </row>
    <row r="20" customFormat="false" ht="15" hidden="false" customHeight="false" outlineLevel="0" collapsed="false">
      <c r="A20" s="5" t="s">
        <v>305</v>
      </c>
      <c r="B20" s="5" t="s">
        <v>264</v>
      </c>
      <c r="C20" s="6" t="n">
        <v>10</v>
      </c>
      <c r="D20" s="12" t="n">
        <f aca="false">IF(B20="Monthly",C20*12,IF(B20="Semiannual",C20*2,C20))</f>
        <v>120</v>
      </c>
      <c r="E20" s="32" t="s">
        <v>273</v>
      </c>
      <c r="F20" s="12" t="n">
        <f aca="false">IF(E20="Cut",D20,0)</f>
        <v>0</v>
      </c>
      <c r="G20" s="5" t="s">
        <v>293</v>
      </c>
      <c r="H20" s="2" t="s">
        <v>306</v>
      </c>
    </row>
    <row r="21" customFormat="false" ht="15" hidden="false" customHeight="false" outlineLevel="0" collapsed="false">
      <c r="A21" s="5" t="s">
        <v>307</v>
      </c>
      <c r="B21" s="5" t="s">
        <v>264</v>
      </c>
      <c r="C21" s="6" t="n">
        <v>32.99</v>
      </c>
      <c r="D21" s="12" t="n">
        <f aca="false">IF(B21="Monthly",C21*12,IF(B21="Semiannual",C21*2,C21))</f>
        <v>395.88</v>
      </c>
      <c r="E21" s="32" t="s">
        <v>269</v>
      </c>
      <c r="F21" s="12" t="n">
        <f aca="false">IF(E21="Cut",D21,0)</f>
        <v>0</v>
      </c>
      <c r="G21" s="5" t="s">
        <v>308</v>
      </c>
      <c r="H21" s="2" t="s">
        <v>309</v>
      </c>
    </row>
    <row r="22" customFormat="false" ht="15" hidden="false" customHeight="false" outlineLevel="0" collapsed="false">
      <c r="A22" s="5" t="s">
        <v>310</v>
      </c>
      <c r="B22" s="5" t="s">
        <v>264</v>
      </c>
      <c r="C22" s="6" t="n">
        <v>13.94</v>
      </c>
      <c r="D22" s="12" t="n">
        <f aca="false">IF(B22="Monthly",C22*12,IF(B22="Semiannual",C22*2,C22))</f>
        <v>167.28</v>
      </c>
      <c r="E22" s="32" t="s">
        <v>269</v>
      </c>
      <c r="F22" s="12" t="n">
        <f aca="false">IF(E22="Cut",D22,0)</f>
        <v>0</v>
      </c>
      <c r="G22" s="5" t="s">
        <v>311</v>
      </c>
      <c r="H22" s="2" t="s">
        <v>312</v>
      </c>
    </row>
    <row r="23" customFormat="false" ht="15" hidden="false" customHeight="false" outlineLevel="0" collapsed="false">
      <c r="A23" s="5" t="s">
        <v>313</v>
      </c>
      <c r="B23" s="5" t="s">
        <v>264</v>
      </c>
      <c r="C23" s="6" t="n">
        <v>20.76</v>
      </c>
      <c r="D23" s="12" t="n">
        <f aca="false">IF(B23="Monthly",C23*12,IF(B23="Semiannual",C23*2,C23))</f>
        <v>249.12</v>
      </c>
      <c r="E23" s="32" t="s">
        <v>269</v>
      </c>
      <c r="F23" s="12" t="n">
        <f aca="false">IF(E23="Cut",D23,0)</f>
        <v>0</v>
      </c>
      <c r="G23" s="5" t="s">
        <v>314</v>
      </c>
      <c r="H23" s="2" t="s">
        <v>315</v>
      </c>
    </row>
    <row r="24" customFormat="false" ht="15" hidden="false" customHeight="false" outlineLevel="0" collapsed="false">
      <c r="A24" s="5" t="s">
        <v>316</v>
      </c>
      <c r="B24" s="5" t="s">
        <v>264</v>
      </c>
      <c r="C24" s="6" t="n">
        <v>10.63</v>
      </c>
      <c r="D24" s="12" t="n">
        <f aca="false">IF(B24="Monthly",C24*12,IF(B24="Semiannual",C24*2,C24))</f>
        <v>127.56</v>
      </c>
      <c r="E24" s="32" t="s">
        <v>273</v>
      </c>
      <c r="F24" s="12" t="n">
        <f aca="false">IF(E24="Cut",D24,0)</f>
        <v>0</v>
      </c>
      <c r="G24" s="5" t="s">
        <v>317</v>
      </c>
      <c r="H24" s="2"/>
    </row>
    <row r="25" customFormat="false" ht="15" hidden="false" customHeight="false" outlineLevel="0" collapsed="false">
      <c r="A25" s="5" t="s">
        <v>318</v>
      </c>
      <c r="B25" s="5" t="s">
        <v>264</v>
      </c>
      <c r="C25" s="6" t="n">
        <v>21.25</v>
      </c>
      <c r="D25" s="12" t="n">
        <f aca="false">IF(B25="Monthly",C25*12,IF(B25="Semiannual",C25*2,C25))</f>
        <v>255</v>
      </c>
      <c r="E25" s="32" t="s">
        <v>273</v>
      </c>
      <c r="F25" s="12" t="n">
        <f aca="false">IF(E25="Cut",D25,0)</f>
        <v>0</v>
      </c>
      <c r="G25" s="5" t="s">
        <v>311</v>
      </c>
      <c r="H25" s="2"/>
    </row>
    <row r="26" customFormat="false" ht="15" hidden="false" customHeight="false" outlineLevel="0" collapsed="false">
      <c r="A26" s="5" t="s">
        <v>319</v>
      </c>
      <c r="B26" s="5" t="s">
        <v>281</v>
      </c>
      <c r="C26" s="6" t="n">
        <v>381.44</v>
      </c>
      <c r="D26" s="12" t="n">
        <f aca="false">IF(B26="Monthly",C26*12,IF(B26="Semiannual",C26*2,C26))</f>
        <v>381.44</v>
      </c>
      <c r="E26" s="32" t="s">
        <v>273</v>
      </c>
      <c r="F26" s="12" t="n">
        <f aca="false">IF(E26="Cut",D26,0)</f>
        <v>0</v>
      </c>
      <c r="G26" s="5" t="s">
        <v>320</v>
      </c>
      <c r="H26" s="2" t="s">
        <v>321</v>
      </c>
    </row>
    <row r="27" customFormat="false" ht="15" hidden="false" customHeight="false" outlineLevel="0" collapsed="false">
      <c r="A27" s="5" t="s">
        <v>322</v>
      </c>
      <c r="B27" s="5" t="s">
        <v>281</v>
      </c>
      <c r="C27" s="6" t="n">
        <v>212.49</v>
      </c>
      <c r="D27" s="12" t="n">
        <f aca="false">IF(B27="Monthly",C27*12,IF(B27="Semiannual",C27*2,C27))</f>
        <v>212.49</v>
      </c>
      <c r="E27" s="32" t="s">
        <v>269</v>
      </c>
      <c r="F27" s="12" t="n">
        <f aca="false">IF(E27="Cut",D27,0)</f>
        <v>0</v>
      </c>
      <c r="G27" s="5" t="s">
        <v>323</v>
      </c>
      <c r="H27" s="2" t="s">
        <v>324</v>
      </c>
    </row>
    <row r="28" customFormat="false" ht="15" hidden="false" customHeight="false" outlineLevel="0" collapsed="false">
      <c r="A28" s="5" t="s">
        <v>325</v>
      </c>
      <c r="B28" s="5" t="s">
        <v>326</v>
      </c>
      <c r="C28" s="6" t="n">
        <v>114.75</v>
      </c>
      <c r="D28" s="12" t="n">
        <f aca="false">IF(B28="Monthly",C28*12,IF(B28="Semiannual",C28*2,C28))</f>
        <v>229.5</v>
      </c>
      <c r="E28" s="32" t="s">
        <v>269</v>
      </c>
      <c r="F28" s="12" t="n">
        <f aca="false">IF(E28="Cut",D28,0)</f>
        <v>0</v>
      </c>
      <c r="G28" s="5" t="s">
        <v>327</v>
      </c>
      <c r="H28" s="2" t="s">
        <v>328</v>
      </c>
    </row>
    <row r="29" customFormat="false" ht="15" hidden="false" customHeight="false" outlineLevel="0" collapsed="false">
      <c r="A29" s="5" t="s">
        <v>329</v>
      </c>
      <c r="B29" s="5" t="s">
        <v>281</v>
      </c>
      <c r="C29" s="6" t="n">
        <v>548</v>
      </c>
      <c r="D29" s="12" t="n">
        <f aca="false">IF(B29="Monthly",C29*12,IF(B29="Semiannual",C29*2,C29))</f>
        <v>548</v>
      </c>
      <c r="E29" s="32" t="s">
        <v>273</v>
      </c>
      <c r="F29" s="12" t="n">
        <f aca="false">IF(E29="Cut",D29,0)</f>
        <v>0</v>
      </c>
      <c r="G29" s="5" t="s">
        <v>330</v>
      </c>
      <c r="H29" s="2" t="s">
        <v>331</v>
      </c>
    </row>
    <row r="30" customFormat="false" ht="15" hidden="false" customHeight="false" outlineLevel="0" collapsed="false">
      <c r="A30" s="5" t="s">
        <v>332</v>
      </c>
      <c r="B30" s="5" t="s">
        <v>264</v>
      </c>
      <c r="C30" s="6" t="n">
        <v>32.95</v>
      </c>
      <c r="D30" s="12" t="n">
        <f aca="false">IF(B30="Monthly",C30*12,IF(B30="Semiannual",C30*2,C30))</f>
        <v>395.4</v>
      </c>
      <c r="E30" s="32" t="s">
        <v>269</v>
      </c>
      <c r="F30" s="12" t="n">
        <f aca="false">IF(E30="Cut",D30,0)</f>
        <v>0</v>
      </c>
      <c r="G30" s="5" t="s">
        <v>333</v>
      </c>
      <c r="H30" s="2" t="s">
        <v>334</v>
      </c>
    </row>
    <row r="31" customFormat="false" ht="15" hidden="false" customHeight="false" outlineLevel="0" collapsed="false">
      <c r="A31" s="5" t="s">
        <v>335</v>
      </c>
      <c r="B31" s="5" t="s">
        <v>264</v>
      </c>
      <c r="C31" s="6" t="n">
        <v>115.23</v>
      </c>
      <c r="D31" s="12" t="n">
        <f aca="false">IF(B31="Monthly",C31*12,IF(B31="Semiannual",C31*2,C31))</f>
        <v>1382.76</v>
      </c>
      <c r="E31" s="32" t="s">
        <v>269</v>
      </c>
      <c r="F31" s="12" t="n">
        <f aca="false">IF(E31="Cut",D31,0)</f>
        <v>0</v>
      </c>
      <c r="G31" s="5" t="s">
        <v>285</v>
      </c>
      <c r="H31" s="2" t="s">
        <v>336</v>
      </c>
    </row>
    <row r="32" customFormat="false" ht="15" hidden="false" customHeight="false" outlineLevel="0" collapsed="false">
      <c r="A32" s="5" t="s">
        <v>337</v>
      </c>
      <c r="B32" s="5" t="s">
        <v>264</v>
      </c>
      <c r="C32" s="6" t="n">
        <v>25</v>
      </c>
      <c r="D32" s="12" t="n">
        <f aca="false">IF(B32="Monthly",C32*12,IF(B32="Semiannual",C32*2,C32))</f>
        <v>300</v>
      </c>
      <c r="E32" s="32" t="s">
        <v>273</v>
      </c>
      <c r="F32" s="12" t="n">
        <f aca="false">IF(E32="Cut",D32,0)</f>
        <v>0</v>
      </c>
      <c r="G32" s="5" t="s">
        <v>338</v>
      </c>
      <c r="H32" s="2" t="s">
        <v>339</v>
      </c>
    </row>
    <row r="33" customFormat="false" ht="15" hidden="false" customHeight="false" outlineLevel="0" collapsed="false">
      <c r="A33" s="15" t="s">
        <v>340</v>
      </c>
      <c r="D33" s="17" t="n">
        <f aca="false">SUM(D5:D32)</f>
        <v>9001.58</v>
      </c>
      <c r="F33" s="17" t="n">
        <f aca="false">SUM(F5:F32)</f>
        <v>875.64</v>
      </c>
    </row>
    <row r="34" customFormat="false" ht="15" hidden="false" customHeight="false" outlineLevel="0" collapsed="false">
      <c r="A34" s="2" t="s">
        <v>341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343</v>
      </c>
    </row>
    <row r="3" customFormat="false" ht="15" hidden="false" customHeight="false" outlineLevel="0" collapsed="false">
      <c r="A3" s="33" t="s">
        <v>344</v>
      </c>
      <c r="B3" s="34" t="s">
        <v>345</v>
      </c>
    </row>
    <row r="4" customFormat="false" ht="23.85" hidden="false" customHeight="false" outlineLevel="0" collapsed="false">
      <c r="A4" s="33" t="s">
        <v>346</v>
      </c>
      <c r="B4" s="34" t="s">
        <v>347</v>
      </c>
    </row>
    <row r="5" customFormat="false" ht="15" hidden="false" customHeight="false" outlineLevel="0" collapsed="false">
      <c r="A5" s="33" t="s">
        <v>348</v>
      </c>
      <c r="B5" s="34" t="s">
        <v>349</v>
      </c>
    </row>
    <row r="6" customFormat="false" ht="23.85" hidden="false" customHeight="false" outlineLevel="0" collapsed="false">
      <c r="A6" s="33" t="s">
        <v>350</v>
      </c>
      <c r="B6" s="34" t="s">
        <v>351</v>
      </c>
    </row>
    <row r="7" customFormat="false" ht="23.85" hidden="false" customHeight="false" outlineLevel="0" collapsed="false">
      <c r="A7" s="33" t="s">
        <v>352</v>
      </c>
      <c r="B7" s="34" t="s">
        <v>353</v>
      </c>
    </row>
    <row r="8" customFormat="false" ht="23.85" hidden="false" customHeight="false" outlineLevel="0" collapsed="false">
      <c r="A8" s="33" t="s">
        <v>354</v>
      </c>
      <c r="B8" s="34" t="s">
        <v>355</v>
      </c>
    </row>
    <row r="9" customFormat="false" ht="15" hidden="false" customHeight="false" outlineLevel="0" collapsed="false">
      <c r="A9" s="33" t="s">
        <v>356</v>
      </c>
      <c r="B9" s="34" t="s">
        <v>357</v>
      </c>
    </row>
    <row r="10" customFormat="false" ht="23.85" hidden="false" customHeight="false" outlineLevel="0" collapsed="false">
      <c r="A10" s="33" t="s">
        <v>358</v>
      </c>
      <c r="B10" s="34" t="s">
        <v>359</v>
      </c>
    </row>
    <row r="11" customFormat="false" ht="15" hidden="false" customHeight="false" outlineLevel="0" collapsed="false">
      <c r="A11" s="33" t="s">
        <v>360</v>
      </c>
      <c r="B11" s="34" t="s">
        <v>361</v>
      </c>
    </row>
    <row r="12" customFormat="false" ht="15" hidden="false" customHeight="false" outlineLevel="0" collapsed="false">
      <c r="A12" s="33" t="s">
        <v>362</v>
      </c>
      <c r="B12" s="34" t="s">
        <v>363</v>
      </c>
    </row>
    <row r="14" customFormat="false" ht="15" hidden="false" customHeight="false" outlineLevel="0" collapsed="false">
      <c r="A14" s="8" t="s">
        <v>364</v>
      </c>
    </row>
    <row r="15" customFormat="false" ht="15" hidden="false" customHeight="false" outlineLevel="0" collapsed="false">
      <c r="A15" s="5" t="s">
        <v>365</v>
      </c>
      <c r="B15" s="34" t="s">
        <v>366</v>
      </c>
    </row>
    <row r="16" customFormat="false" ht="23.85" hidden="false" customHeight="false" outlineLevel="0" collapsed="false">
      <c r="A16" s="5" t="s">
        <v>365</v>
      </c>
      <c r="B16" s="34" t="s">
        <v>367</v>
      </c>
    </row>
    <row r="17" customFormat="false" ht="15" hidden="false" customHeight="false" outlineLevel="0" collapsed="false">
      <c r="A17" s="5" t="s">
        <v>365</v>
      </c>
      <c r="B17" s="34" t="s">
        <v>368</v>
      </c>
    </row>
    <row r="18" customFormat="false" ht="15" hidden="false" customHeight="false" outlineLevel="0" collapsed="false">
      <c r="A18" s="5" t="s">
        <v>365</v>
      </c>
      <c r="B18" s="34" t="s">
        <v>369</v>
      </c>
    </row>
    <row r="19" customFormat="false" ht="15" hidden="false" customHeight="false" outlineLevel="0" collapsed="false">
      <c r="A19" s="5" t="s">
        <v>365</v>
      </c>
      <c r="B19" s="34" t="s">
        <v>370</v>
      </c>
    </row>
    <row r="20" customFormat="false" ht="15" hidden="false" customHeight="false" outlineLevel="0" collapsed="false">
      <c r="A20" s="5" t="s">
        <v>365</v>
      </c>
      <c r="B20" s="34" t="s">
        <v>371</v>
      </c>
    </row>
    <row r="21" customFormat="false" ht="15" hidden="false" customHeight="false" outlineLevel="0" collapsed="false">
      <c r="A21" s="5" t="s">
        <v>365</v>
      </c>
      <c r="B21" s="34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2026-10-13T19:53:38Z</dcterms:created>
  <dc:creator>openpyxl</dc:creator>
  <dc:description/>
  <dc:language>en-US</dc:language>
  <cp:lastModifiedBy/>
  <dcterms:modified xsi:type="dcterms:W3CDTF">2026-10-13T19:53:38Z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